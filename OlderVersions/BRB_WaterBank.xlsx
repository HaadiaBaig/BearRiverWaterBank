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652544157338/WOPIServiceId_TP_BOX_2/WOPIUserId_-/"/>
    </mc:Choice>
  </mc:AlternateContent>
  <xr:revisionPtr revIDLastSave="2474" documentId="13_ncr:1_{D3D1D7E0-319B-45C7-9D94-6CD71BC6330D}" xr6:coauthVersionLast="47" xr6:coauthVersionMax="47" xr10:uidLastSave="{3C7775A0-CDEC-4B33-8523-0BA63D690653}"/>
  <bookViews>
    <workbookView xWindow="-28920" yWindow="-7185" windowWidth="29040" windowHeight="15840" firstSheet="6" activeTab="12" xr2:uid="{B4F87478-4EBA-4AEE-B084-D19078184276}"/>
  </bookViews>
  <sheets>
    <sheet name="Model" sheetId="6" r:id="rId1"/>
    <sheet name="Network" sheetId="1" r:id="rId2"/>
    <sheet name="Diversions" sheetId="12" r:id="rId3"/>
    <sheet name="Inflow Quantiles - Seasonal" sheetId="15" r:id="rId4"/>
    <sheet name="BearLake_ElevationStorage" sheetId="11" r:id="rId5"/>
    <sheet name="WaterAllocation" sheetId="2" r:id="rId6"/>
    <sheet name="HistoricWaterUse" sheetId="20" r:id="rId7"/>
    <sheet name="WaterBalance" sheetId="4" r:id="rId8"/>
    <sheet name="Scenarios" sheetId="8" r:id="rId9"/>
    <sheet name="WaterAllocation-Summary" sheetId="7" r:id="rId10"/>
    <sheet name="Depeltions" sheetId="19" r:id="rId11"/>
    <sheet name="Add reports" sheetId="18" r:id="rId12"/>
    <sheet name="Sheet2" sheetId="16" r:id="rId13"/>
  </sheets>
  <externalReferences>
    <externalReference r:id="rId14"/>
    <externalReference r:id="rId15"/>
  </externalReferences>
  <definedNames>
    <definedName name="_xlnm._FilterDatabase" localSheetId="7" hidden="1">WaterBalance!$A$121:$C$121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6" l="1" a="1"/>
  <c r="C42" i="6" s="1"/>
  <c r="C16" i="19"/>
  <c r="C15" i="19"/>
  <c r="D20" i="2"/>
  <c r="C20" i="2"/>
  <c r="D15" i="19"/>
  <c r="D16" i="19" s="1"/>
  <c r="C10" i="19"/>
  <c r="E9" i="19"/>
  <c r="E10" i="19" s="1"/>
  <c r="D9" i="19"/>
  <c r="D10" i="19" s="1"/>
  <c r="C9" i="19"/>
  <c r="F8" i="2"/>
  <c r="F6" i="2"/>
  <c r="F7" i="2"/>
  <c r="F5" i="2"/>
  <c r="B62" i="15"/>
  <c r="B124" i="4" l="1"/>
  <c r="B115" i="4"/>
  <c r="B117" i="4" s="1"/>
  <c r="B102" i="4"/>
  <c r="B85" i="4"/>
  <c r="B89" i="4"/>
  <c r="B78" i="4"/>
  <c r="B77" i="4"/>
  <c r="B73" i="4"/>
  <c r="B74" i="4" s="1"/>
  <c r="B64" i="4"/>
  <c r="B52" i="4"/>
  <c r="B58" i="4" s="1"/>
  <c r="B38" i="4"/>
  <c r="B34" i="4"/>
  <c r="B36" i="4" s="1"/>
  <c r="B27" i="4"/>
  <c r="B28" i="4"/>
  <c r="B30" i="4" s="1"/>
  <c r="B23" i="4"/>
  <c r="D10" i="2"/>
  <c r="C10" i="2"/>
  <c r="F79" i="6" a="1"/>
  <c r="F79" i="6" s="1"/>
  <c r="E79" i="6" a="1"/>
  <c r="E79" i="6" s="1"/>
  <c r="D79" i="6" a="1"/>
  <c r="D79" i="6" s="1"/>
  <c r="C79" i="6"/>
  <c r="F78" i="6" a="1"/>
  <c r="F78" i="6" s="1"/>
  <c r="E78" i="6" a="1"/>
  <c r="E78" i="6" s="1"/>
  <c r="D78" i="6" a="1"/>
  <c r="D78" i="6" s="1"/>
  <c r="C78" i="6"/>
  <c r="F77" i="6" a="1"/>
  <c r="F77" i="6" s="1"/>
  <c r="E77" i="6" a="1"/>
  <c r="E77" i="6" s="1"/>
  <c r="D77" i="6" a="1"/>
  <c r="D77" i="6" s="1"/>
  <c r="F76" i="6" a="1"/>
  <c r="F76" i="6" s="1"/>
  <c r="E76" i="6" a="1"/>
  <c r="E76" i="6" s="1"/>
  <c r="D76" i="6" a="1"/>
  <c r="D76" i="6" s="1"/>
  <c r="F75" i="6" a="1"/>
  <c r="F75" i="6" s="1"/>
  <c r="F80" i="6" s="1"/>
  <c r="E75" i="6" a="1"/>
  <c r="E75" i="6" s="1"/>
  <c r="E80" i="6" s="1"/>
  <c r="D75" i="6" a="1"/>
  <c r="D75" i="6" s="1"/>
  <c r="D80" i="6" s="1"/>
  <c r="F71" i="6"/>
  <c r="E71" i="6"/>
  <c r="D71" i="6"/>
  <c r="F44" i="6" a="1"/>
  <c r="F44" i="6" s="1"/>
  <c r="F48" i="6" s="1"/>
  <c r="E44" i="6" a="1"/>
  <c r="E44" i="6" s="1"/>
  <c r="E48" i="6" s="1"/>
  <c r="D44" i="6" a="1"/>
  <c r="D44" i="6" s="1"/>
  <c r="D48" i="6" s="1"/>
  <c r="C44" i="6" a="1"/>
  <c r="C44" i="6" s="1"/>
  <c r="C48" i="6" s="1"/>
  <c r="F43" i="6" a="1"/>
  <c r="F43" i="6" s="1"/>
  <c r="F50" i="6" s="1"/>
  <c r="E43" i="6" a="1"/>
  <c r="E43" i="6" s="1"/>
  <c r="E50" i="6" s="1"/>
  <c r="D43" i="6" a="1"/>
  <c r="D43" i="6" s="1"/>
  <c r="D50" i="6" s="1"/>
  <c r="C43" i="6" a="1"/>
  <c r="C43" i="6" s="1"/>
  <c r="C50" i="6" s="1"/>
  <c r="F42" i="6" a="1"/>
  <c r="F42" i="6" s="1"/>
  <c r="E42" i="6" a="1"/>
  <c r="E42" i="6" s="1"/>
  <c r="D42" i="6" a="1"/>
  <c r="D42" i="6" s="1"/>
  <c r="F41" i="6" a="1"/>
  <c r="F41" i="6" s="1"/>
  <c r="E41" i="6" a="1"/>
  <c r="E41" i="6" s="1"/>
  <c r="E49" i="6" s="1"/>
  <c r="D41" i="6" a="1"/>
  <c r="D41" i="6" s="1"/>
  <c r="C41" i="6" a="1"/>
  <c r="C41" i="6" s="1"/>
  <c r="F38" i="6" a="1"/>
  <c r="F38" i="6" s="1"/>
  <c r="E38" i="6" a="1"/>
  <c r="E38" i="6" s="1"/>
  <c r="D38" i="6" a="1"/>
  <c r="D38" i="6" s="1"/>
  <c r="C38" i="6" a="1"/>
  <c r="C38" i="6" s="1"/>
  <c r="F37" i="6" a="1"/>
  <c r="F37" i="6" s="1"/>
  <c r="E37" i="6" a="1"/>
  <c r="E37" i="6" s="1"/>
  <c r="D37" i="6" a="1"/>
  <c r="D37" i="6" s="1"/>
  <c r="C37" i="6" a="1"/>
  <c r="C37" i="6" s="1"/>
  <c r="F36" i="6" a="1"/>
  <c r="F36" i="6" s="1"/>
  <c r="E36" i="6" a="1"/>
  <c r="E36" i="6" s="1"/>
  <c r="D36" i="6" a="1"/>
  <c r="D36" i="6" s="1"/>
  <c r="C36" i="6" a="1"/>
  <c r="C36" i="6" s="1"/>
  <c r="F35" i="6" a="1"/>
  <c r="F35" i="6" s="1"/>
  <c r="F39" i="6" s="1"/>
  <c r="E35" i="6" a="1"/>
  <c r="E35" i="6" s="1"/>
  <c r="E39" i="6" s="1"/>
  <c r="D35" i="6" a="1"/>
  <c r="D35" i="6" s="1"/>
  <c r="C35" i="6" a="1"/>
  <c r="C35" i="6" s="1"/>
  <c r="C29" i="6"/>
  <c r="C28" i="6"/>
  <c r="C32" i="6"/>
  <c r="F104" i="6"/>
  <c r="F103" i="6"/>
  <c r="F99" i="6"/>
  <c r="B90" i="4" l="1"/>
  <c r="B104" i="4" s="1"/>
  <c r="B65" i="4"/>
  <c r="B71" i="4" s="1"/>
  <c r="B81" i="4" s="1"/>
  <c r="B31" i="4"/>
  <c r="B37" i="4" s="1"/>
  <c r="C30" i="6"/>
  <c r="G17" i="6"/>
  <c r="C31" i="6" s="1"/>
  <c r="C39" i="6"/>
  <c r="D39" i="6"/>
  <c r="E45" i="6"/>
  <c r="E69" i="6"/>
  <c r="E84" i="6" s="1"/>
  <c r="D69" i="6"/>
  <c r="D84" i="6" s="1"/>
  <c r="F45" i="6"/>
  <c r="F49" i="6"/>
  <c r="C71" i="6"/>
  <c r="C49" i="6"/>
  <c r="C45" i="6"/>
  <c r="D49" i="6"/>
  <c r="D45" i="6"/>
  <c r="C100" i="6"/>
  <c r="C103" i="6"/>
  <c r="D100" i="6"/>
  <c r="D103" i="6"/>
  <c r="E100" i="6"/>
  <c r="E103" i="6"/>
  <c r="G14" i="6"/>
  <c r="F100" i="6"/>
  <c r="C99" i="6"/>
  <c r="C104" i="6"/>
  <c r="D99" i="6"/>
  <c r="D104" i="6"/>
  <c r="E99" i="6"/>
  <c r="E104" i="6"/>
  <c r="B105" i="4" l="1"/>
  <c r="B110" i="4" s="1"/>
  <c r="B119" i="4" s="1"/>
  <c r="C66" i="6"/>
  <c r="C89" i="6" s="1"/>
  <c r="G18" i="6"/>
  <c r="F69" i="6"/>
  <c r="F84" i="6" s="1"/>
  <c r="F83" i="6"/>
  <c r="F68" i="6"/>
  <c r="E72" i="6"/>
  <c r="D70" i="6"/>
  <c r="F70" i="6"/>
  <c r="E68" i="6"/>
  <c r="E83" i="6"/>
  <c r="E85" i="6" s="1"/>
  <c r="D72" i="6"/>
  <c r="C72" i="6"/>
  <c r="F72" i="6"/>
  <c r="E70" i="6"/>
  <c r="F85" i="6" l="1"/>
  <c r="E86" i="6"/>
  <c r="F86" i="6"/>
  <c r="C77" i="6" l="1"/>
  <c r="C76" i="6"/>
  <c r="C75" i="6"/>
  <c r="C80" i="6" l="1"/>
  <c r="C70" i="6"/>
  <c r="C69" i="6"/>
  <c r="C84" i="6" s="1"/>
  <c r="D68" i="6" l="1"/>
  <c r="D83" i="6"/>
  <c r="D85" i="6" s="1"/>
  <c r="C68" i="6"/>
  <c r="C83" i="6"/>
  <c r="C85" i="6" s="1"/>
  <c r="C90" i="6" s="1"/>
  <c r="C91" i="6" l="1"/>
  <c r="C101" i="6" s="1"/>
  <c r="C86" i="6"/>
  <c r="D86" i="6"/>
  <c r="C93" i="6" l="1"/>
  <c r="C94" i="6"/>
  <c r="C107" i="6" l="1"/>
  <c r="D26" i="6" s="1"/>
  <c r="D29" i="6" s="1"/>
  <c r="C97" i="6"/>
  <c r="C96" i="6"/>
  <c r="C106" i="6"/>
  <c r="D23" i="6" s="1"/>
  <c r="D32" i="6" l="1"/>
  <c r="D28" i="6"/>
  <c r="D30" i="6" l="1"/>
  <c r="D31" i="6"/>
  <c r="D66" i="6" s="1"/>
  <c r="D89" i="6" s="1"/>
  <c r="D90" i="6" s="1"/>
  <c r="D91" i="6" l="1"/>
  <c r="D93" i="6" l="1"/>
  <c r="D94" i="6"/>
  <c r="D101" i="6"/>
  <c r="D107" i="6" l="1"/>
  <c r="E26" i="6" s="1"/>
  <c r="E29" i="6" s="1"/>
  <c r="D97" i="6"/>
  <c r="D96" i="6"/>
  <c r="D106" i="6"/>
  <c r="E23" i="6" s="1"/>
  <c r="E32" i="6" l="1"/>
  <c r="E28" i="6"/>
  <c r="E30" i="6" l="1"/>
  <c r="E31" i="6"/>
  <c r="E66" i="6" s="1"/>
  <c r="E89" i="6" s="1"/>
  <c r="E90" i="6" s="1"/>
  <c r="E91" i="6" l="1"/>
  <c r="E93" i="6" l="1"/>
  <c r="E94" i="6"/>
  <c r="E101" i="6"/>
  <c r="E96" i="6" l="1"/>
  <c r="E106" i="6"/>
  <c r="F23" i="6" s="1"/>
  <c r="E107" i="6"/>
  <c r="F26" i="6" s="1"/>
  <c r="F29" i="6" s="1"/>
  <c r="E97" i="6"/>
  <c r="F32" i="6" l="1"/>
  <c r="F28" i="6"/>
  <c r="F30" i="6" l="1"/>
  <c r="F31" i="6"/>
  <c r="F66" i="6" s="1"/>
  <c r="F89" i="6" s="1"/>
  <c r="F90" i="6" s="1"/>
  <c r="F91" i="6" l="1"/>
  <c r="F101" i="6" s="1"/>
  <c r="F93" i="6" l="1"/>
  <c r="F94" i="6"/>
  <c r="F107" i="6" l="1"/>
  <c r="F97" i="6"/>
  <c r="F96" i="6"/>
  <c r="F10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3" authorId="0" shapeId="0" xr:uid="{A87896A5-F194-479E-8C23-161FD075CF14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ID#AAABQWaIzgY
</t>
        </r>
        <r>
          <rPr>
            <sz val="12"/>
            <color rgb="FF000000"/>
            <rFont val="Calibri"/>
            <family val="2"/>
          </rPr>
          <t xml:space="preserve">tc={297F76F9-A6DB-0842-A023-768A67889A03}    (2024-06-28 17:39:00)
</t>
        </r>
        <r>
          <rPr>
            <sz val="12"/>
            <color rgb="FF000000"/>
            <rFont val="Calibri"/>
            <family val="2"/>
          </rPr>
          <t xml:space="preserve">[Threaded comment]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Comment:
</t>
        </r>
        <r>
          <rPr>
            <sz val="12"/>
            <color rgb="FF000000"/>
            <rFont val="Calibri"/>
            <family val="2"/>
          </rPr>
          <t xml:space="preserve">    Reservoir Elevation on October 1st 2022.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<sst xmlns="http://schemas.openxmlformats.org/spreadsheetml/2006/main" count="737" uniqueCount="244">
  <si>
    <t xml:space="preserve">Source </t>
  </si>
  <si>
    <t>http://www.bearriverbasin.org/rivers/rivers/</t>
  </si>
  <si>
    <r>
      <rPr>
        <b/>
        <sz val="12"/>
        <color theme="1"/>
        <rFont val="Calibri"/>
        <family val="2"/>
      </rPr>
      <t xml:space="preserve">Partipants instructions are given bold </t>
    </r>
    <r>
      <rPr>
        <b/>
        <sz val="12"/>
        <color rgb="FF0432FF"/>
        <rFont val="Calibri (Body)"/>
      </rPr>
      <t xml:space="preserve">blue </t>
    </r>
    <r>
      <rPr>
        <b/>
        <sz val="12"/>
        <color theme="1"/>
        <rFont val="Calibri (Body)"/>
      </rPr>
      <t>text</t>
    </r>
  </si>
  <si>
    <t>Assign participants and define water use strategy. Cell C6 to D13</t>
  </si>
  <si>
    <t>Party</t>
  </si>
  <si>
    <t>Person</t>
  </si>
  <si>
    <t>Strategy</t>
  </si>
  <si>
    <t>TIER</t>
  </si>
  <si>
    <t>A</t>
  </si>
  <si>
    <t>B</t>
  </si>
  <si>
    <t>C</t>
  </si>
  <si>
    <t>D</t>
  </si>
  <si>
    <t>E</t>
  </si>
  <si>
    <t>Reservoir Assumptions</t>
  </si>
  <si>
    <t>Total</t>
  </si>
  <si>
    <t>Maximum Reservoir Storage (acre-feet)</t>
  </si>
  <si>
    <t>Reservoir Max elvation (feet)</t>
  </si>
  <si>
    <t xml:space="preserve">   Protect elevation (feet)</t>
  </si>
  <si>
    <t>Storage at protection elevation (af)</t>
  </si>
  <si>
    <t>Maximum Reservoir Active Storage</t>
  </si>
  <si>
    <t xml:space="preserve">   Evaporation rate (feet/year)</t>
  </si>
  <si>
    <t>Water Budget (acft)</t>
  </si>
  <si>
    <t>Year 1</t>
  </si>
  <si>
    <t>Year 2</t>
  </si>
  <si>
    <t>Year 3</t>
  </si>
  <si>
    <t>Year 4</t>
  </si>
  <si>
    <t>Beginning of the year reservoir elevation (ft)</t>
  </si>
  <si>
    <t>Hyrum Reservoir</t>
  </si>
  <si>
    <t>3A</t>
  </si>
  <si>
    <t>Beginning of the year reservoir storage (acft)</t>
  </si>
  <si>
    <t>Total Start Storage for the System(acft)</t>
  </si>
  <si>
    <t>Total Active Storage (acft)</t>
  </si>
  <si>
    <t>Total Evaporation from Reservoirs(acft)</t>
  </si>
  <si>
    <t>3B</t>
  </si>
  <si>
    <t xml:space="preserve">Select percentile of flow as compared to historic flows (Choose 1 - 99) [acft]. </t>
  </si>
  <si>
    <t>Winter Flow (October - March) - acft</t>
  </si>
  <si>
    <t>Logan River</t>
  </si>
  <si>
    <t>Summer Flow (April - September) - acft</t>
  </si>
  <si>
    <t>3C</t>
  </si>
  <si>
    <t>Water Available per source of water</t>
  </si>
  <si>
    <t xml:space="preserve"> Participant Dashboard- Here the users decide if they want to involve in water trading with the bank</t>
  </si>
  <si>
    <t xml:space="preserve">Total compensation from water trades </t>
  </si>
  <si>
    <t>End of year Summary for Trades</t>
  </si>
  <si>
    <t xml:space="preserve">Year 3 </t>
  </si>
  <si>
    <t xml:space="preserve">Year 4 </t>
  </si>
  <si>
    <t>Available water before allocation</t>
  </si>
  <si>
    <t>User Trades - Water Bought (+), Sold (-) or Leased [acft]</t>
  </si>
  <si>
    <t>Water consumed by non-agricultural users not involved in trading in agricultural tiers</t>
  </si>
  <si>
    <t>Total water withdrawn from Non Ag users in Ag Tiers</t>
  </si>
  <si>
    <t>Bank Summary</t>
  </si>
  <si>
    <t>Total Volume Bought [acre-ft] OR added to bank storage if the user didn't sell</t>
  </si>
  <si>
    <t>Total Volume Sold [acre-ft]</t>
  </si>
  <si>
    <t>Net Volume traded with bank: Bought (+) or Sold (-) [acre-ft]</t>
  </si>
  <si>
    <t>End of Year Summary</t>
  </si>
  <si>
    <t>Volume of water available before allocation and trades [acft[</t>
  </si>
  <si>
    <t>Volume of water available after allocation and trades [acft]</t>
  </si>
  <si>
    <t>End of year bank storage [acft]</t>
  </si>
  <si>
    <t>End of Year Reservoir Storage [acft)</t>
  </si>
  <si>
    <t>End of Year Reservoir Active Storage [acft)</t>
  </si>
  <si>
    <t/>
  </si>
  <si>
    <t>Res Max Capacity (acft)</t>
  </si>
  <si>
    <t>Excess water Spill [acft]</t>
  </si>
  <si>
    <t>Res Protect Elevation (ft)</t>
  </si>
  <si>
    <t xml:space="preserve">End of Year Reservoir Elevation </t>
  </si>
  <si>
    <t>Bear River Basin Water Bank</t>
  </si>
  <si>
    <t>WATER USERS INCLUDED</t>
  </si>
  <si>
    <t>Onieda</t>
  </si>
  <si>
    <t>Bear River Migratory Bird Refugee</t>
  </si>
  <si>
    <t>Upper Division</t>
  </si>
  <si>
    <t>Central Division</t>
  </si>
  <si>
    <t>Lower Division</t>
  </si>
  <si>
    <t>UT</t>
  </si>
  <si>
    <t>WY</t>
  </si>
  <si>
    <t>ID</t>
  </si>
  <si>
    <t>Data Sources</t>
  </si>
  <si>
    <t>https://waterplan.state.wy.us/BAG/bear/briefbook/bcompact.html</t>
  </si>
  <si>
    <t>https://water.utah.gov/wp-content/uploads/2019/11/Bear-River-Development-Report-Volume-I-Report-Final.pdf</t>
  </si>
  <si>
    <t>Point of measurement</t>
  </si>
  <si>
    <t>Pixley Dam</t>
  </si>
  <si>
    <t>Upper Utah Section</t>
  </si>
  <si>
    <t>Upper Wyoming Section</t>
  </si>
  <si>
    <t>Lower Utah Section</t>
  </si>
  <si>
    <t>Lower Wyoming Section</t>
  </si>
  <si>
    <t>Allocation</t>
  </si>
  <si>
    <t>Bear river entering ID</t>
  </si>
  <si>
    <t>Water Emergency Scenarios and limits</t>
  </si>
  <si>
    <t>Additioal Bear Lake Spillage</t>
  </si>
  <si>
    <t>https://api.mountainscholar.org/server/api/core/bitstreams/26890e0c-11de-42ca-a6bd-6b3a97ec1ba3/content</t>
  </si>
  <si>
    <t>Upper &amp; Central Division</t>
  </si>
  <si>
    <t>Excess</t>
  </si>
  <si>
    <t>Above Stewart Dam (original)</t>
  </si>
  <si>
    <t>Above Bear Lake (amended)</t>
  </si>
  <si>
    <t>Tier 1 (ID first right)</t>
  </si>
  <si>
    <t>Division</t>
  </si>
  <si>
    <t>State</t>
  </si>
  <si>
    <t>Bear Lake</t>
  </si>
  <si>
    <t>Wyoming</t>
  </si>
  <si>
    <t>Flow limmit (cfs)</t>
  </si>
  <si>
    <t>Elevation limit (ft)</t>
  </si>
  <si>
    <t>Agricultural Depletions</t>
  </si>
  <si>
    <t>M &amp; I Depletions</t>
  </si>
  <si>
    <t>Limit - Above Stewart Dam</t>
  </si>
  <si>
    <t>Reservoir Evaporation</t>
  </si>
  <si>
    <t>Total Depletions</t>
  </si>
  <si>
    <t xml:space="preserve">Remaining Allocation </t>
  </si>
  <si>
    <t>Limit</t>
  </si>
  <si>
    <t>Inflow</t>
  </si>
  <si>
    <t>Outflow</t>
  </si>
  <si>
    <t>Soda Creek &amp; Others</t>
  </si>
  <si>
    <t>Johnson Budge</t>
  </si>
  <si>
    <t>Thomas Fork</t>
  </si>
  <si>
    <t>Blacksmith Fork</t>
  </si>
  <si>
    <t>East Fork</t>
  </si>
  <si>
    <t>Yellow Creek</t>
  </si>
  <si>
    <t>Little Bear River</t>
  </si>
  <si>
    <t>Weston Cr. &amp; Tributaries</t>
  </si>
  <si>
    <t>Stauffer Cr. &amp; Others</t>
  </si>
  <si>
    <t>Gentile Valley Canal</t>
  </si>
  <si>
    <t>East Side Canal</t>
  </si>
  <si>
    <t>Coyote Creek</t>
  </si>
  <si>
    <t>Cottonwood Cr.</t>
  </si>
  <si>
    <t>West Cache Canal</t>
  </si>
  <si>
    <t>Bear River Bird Refuge</t>
  </si>
  <si>
    <t>Point</t>
  </si>
  <si>
    <t>Hayden Fork</t>
  </si>
  <si>
    <t>https://www.bearrivercommission.org/docs/Bear%20River%20Stream%20Flow%20and%20Depletions%20Schematic%20Map%201990.pdf</t>
  </si>
  <si>
    <t>Diversion</t>
  </si>
  <si>
    <t>Volume (1000 acft)</t>
  </si>
  <si>
    <t xml:space="preserve">Whitney Reservoir </t>
  </si>
  <si>
    <t>UT - WY</t>
  </si>
  <si>
    <t>Depletion</t>
  </si>
  <si>
    <t>Flow Type</t>
  </si>
  <si>
    <t>UT/WY</t>
  </si>
  <si>
    <t>Mill Creek</t>
  </si>
  <si>
    <t>Sulphur Creek Reservoir</t>
  </si>
  <si>
    <t>Evanston</t>
  </si>
  <si>
    <t>Diversions near Woodruff</t>
  </si>
  <si>
    <t>Woodruff Creek</t>
  </si>
  <si>
    <t>Randolf</t>
  </si>
  <si>
    <t>Various Creeeks near Randolf</t>
  </si>
  <si>
    <t>Twin Creek</t>
  </si>
  <si>
    <t>Tributaries before Pixley</t>
  </si>
  <si>
    <t>Below Pixley Dam</t>
  </si>
  <si>
    <t xml:space="preserve">Triibutary below Pixley </t>
  </si>
  <si>
    <t>Streamflow</t>
  </si>
  <si>
    <t>Woodruff</t>
  </si>
  <si>
    <t>Cokeville</t>
  </si>
  <si>
    <t>Harer</t>
  </si>
  <si>
    <t>Stewart Dam</t>
  </si>
  <si>
    <t>Inflow to BR</t>
  </si>
  <si>
    <t>Smiths Fork</t>
  </si>
  <si>
    <t>Below Cokeville</t>
  </si>
  <si>
    <t>Below Harer</t>
  </si>
  <si>
    <t>Trib below Bear Lake</t>
  </si>
  <si>
    <t>Montpelier Creek</t>
  </si>
  <si>
    <t>Pescadero</t>
  </si>
  <si>
    <t>Georgetown Creek</t>
  </si>
  <si>
    <t>Eight mile creek</t>
  </si>
  <si>
    <t>Soda Dam</t>
  </si>
  <si>
    <t>Power Dam</t>
  </si>
  <si>
    <t>Alexander</t>
  </si>
  <si>
    <t>Bench Canal</t>
  </si>
  <si>
    <t>Last Chance Canal</t>
  </si>
  <si>
    <t>Groundwater and Tributary Inflow</t>
  </si>
  <si>
    <t xml:space="preserve">Onieda </t>
  </si>
  <si>
    <t>Mink Creek</t>
  </si>
  <si>
    <t>Infllow</t>
  </si>
  <si>
    <t>Twin Lakes</t>
  </si>
  <si>
    <t>Preston</t>
  </si>
  <si>
    <t>Pumps</t>
  </si>
  <si>
    <t>Groudwater and Return Flow</t>
  </si>
  <si>
    <t xml:space="preserve">ID - UT </t>
  </si>
  <si>
    <t>Cub River</t>
  </si>
  <si>
    <t>Tributary Inflow</t>
  </si>
  <si>
    <t>High Cr. &amp; Cherry Cr.</t>
  </si>
  <si>
    <t>Summit Cr.</t>
  </si>
  <si>
    <t>Return Flow and Groundwater</t>
  </si>
  <si>
    <t>Inflow to LR</t>
  </si>
  <si>
    <t>Porcupine Res</t>
  </si>
  <si>
    <t>East Fork LBR</t>
  </si>
  <si>
    <t>South Fork LBR</t>
  </si>
  <si>
    <t>Groundwater and Return Flow</t>
  </si>
  <si>
    <t>Smithfield</t>
  </si>
  <si>
    <t>Inflow towards downstream</t>
  </si>
  <si>
    <t>Inflow to downstream</t>
  </si>
  <si>
    <t>Culter Dam</t>
  </si>
  <si>
    <t>Inflow at Dam</t>
  </si>
  <si>
    <t>West Side Canal</t>
  </si>
  <si>
    <t>Collinston</t>
  </si>
  <si>
    <t>Malad River</t>
  </si>
  <si>
    <t>Malad River - Trib Inflow</t>
  </si>
  <si>
    <t>Duck Clubs</t>
  </si>
  <si>
    <t>Corrine</t>
  </si>
  <si>
    <t>State and Private Wildlife Areas</t>
  </si>
  <si>
    <t>To Salt Lake</t>
  </si>
  <si>
    <t>Upper</t>
  </si>
  <si>
    <t>Central</t>
  </si>
  <si>
    <t>Lower</t>
  </si>
  <si>
    <t>ID/UT</t>
  </si>
  <si>
    <t>Summer</t>
  </si>
  <si>
    <t>Winter</t>
  </si>
  <si>
    <t>Streamflow losses</t>
  </si>
  <si>
    <t>Effective Streamflow</t>
  </si>
  <si>
    <t>AboveWoodruff</t>
  </si>
  <si>
    <t>BelowPixley_Cokeville</t>
  </si>
  <si>
    <t>BelowSmithsFork</t>
  </si>
  <si>
    <t>BelowWoodruff</t>
  </si>
  <si>
    <t>BSFRIver</t>
  </si>
  <si>
    <t>ID-UT</t>
  </si>
  <si>
    <t>LBR</t>
  </si>
  <si>
    <t>LoganRiver</t>
  </si>
  <si>
    <t>SmithsFork</t>
  </si>
  <si>
    <t>UT-WY</t>
  </si>
  <si>
    <t>WYBorder</t>
  </si>
  <si>
    <t>Bank</t>
  </si>
  <si>
    <t>Storage Rights</t>
  </si>
  <si>
    <t>https://le.utah.gov/xcode/Title73/Chapter16/C73-16_1800010118000101.pdf</t>
  </si>
  <si>
    <t>Tier 2 (Next 75,000 acft)</t>
  </si>
  <si>
    <t>Above Stewart Dam (amended)</t>
  </si>
  <si>
    <t>Divison</t>
  </si>
  <si>
    <t>Central Divison</t>
  </si>
  <si>
    <t>Divertable flow</t>
  </si>
  <si>
    <t>Utah</t>
  </si>
  <si>
    <t>Idaho</t>
  </si>
  <si>
    <t>Above Stwart Dam (pre compact)</t>
  </si>
  <si>
    <t>Above Stewart Dam (compsct)</t>
  </si>
  <si>
    <t>No diversion for storage above stewart dam</t>
  </si>
  <si>
    <t>Estimated Depletions (Acre feet)</t>
  </si>
  <si>
    <t>https://www.bearrivercommission.org/docs/BRC%202019%20Depletions%20Report%20(Final%20Adopted%202023-04-18)%20(w%20appendices).pdf</t>
  </si>
  <si>
    <t xml:space="preserve">Upper </t>
  </si>
  <si>
    <t>Allocation - Storage</t>
  </si>
  <si>
    <t>Allocation Streamflow</t>
  </si>
  <si>
    <t>Upper Utah Section.</t>
  </si>
  <si>
    <t>Lower Utah Section.</t>
  </si>
  <si>
    <t>Changes from 1976 to 2019</t>
  </si>
  <si>
    <t>Lower ID</t>
  </si>
  <si>
    <t>Upper and Central Division</t>
  </si>
  <si>
    <t>Cutler</t>
  </si>
  <si>
    <t>Alexendar</t>
  </si>
  <si>
    <t>https://idwr.idaho.gov/water-data/water-rights-accounting/wd11/</t>
  </si>
  <si>
    <t>Lower UT - BRC</t>
  </si>
  <si>
    <t>Lower UT- BirdRefuge</t>
  </si>
  <si>
    <t>https://water.utah.gov/wp-content/uploads/2024/02/Regional-Economic-Values-of-the-Bear-River.pdf</t>
  </si>
  <si>
    <t>Area (acres)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</si>
</sst>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&quot;$&quot;#,##0"/>
    <numFmt numFmtId="167" formatCode="0.000"/>
    <numFmt numFmtId="168" formatCode="0.0%"/>
  </numFmts>
  <fonts count="3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432FF"/>
      <name val="Calibri (Body)"/>
    </font>
    <font>
      <b/>
      <sz val="12"/>
      <color theme="1"/>
      <name val="Calibri (Body)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name val="Calibri"/>
      <family val="2"/>
    </font>
    <font>
      <sz val="12"/>
      <color rgb="FF833C0B"/>
      <name val="Calibri"/>
      <family val="2"/>
    </font>
    <font>
      <u/>
      <sz val="12"/>
      <color rgb="FF0563C1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u/>
      <sz val="12"/>
      <color theme="10"/>
      <name val="Calibri"/>
      <family val="2"/>
    </font>
    <font>
      <u/>
      <sz val="12"/>
      <color rgb="FF0432FF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sz val="12"/>
      <color rgb="FF0432FF"/>
      <name val="Calibri"/>
      <family val="2"/>
    </font>
    <font>
      <sz val="12"/>
      <color rgb="FF000000"/>
      <name val="Calibri"/>
      <family val="2"/>
    </font>
    <font>
      <b/>
      <sz val="12"/>
      <color rgb="FFC00000"/>
      <name val="Calibri"/>
      <family val="2"/>
    </font>
    <font>
      <sz val="12"/>
      <color rgb="FF833C0C"/>
      <name val="Calibri"/>
      <family val="2"/>
    </font>
    <font>
      <sz val="12"/>
      <color rgb="FF3F3F76"/>
      <name val="Calibri"/>
      <family val="2"/>
    </font>
    <font>
      <b/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BDD6EE"/>
        <bgColor rgb="FFBDD6EE"/>
      </patternFill>
    </fill>
    <fill>
      <patternFill patternType="solid">
        <fgColor rgb="FFFFCC99"/>
        <bgColor rgb="FFFFCC99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2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26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2"/>
    <xf numFmtId="0" fontId="4" fillId="0" borderId="0" xfId="2" applyFont="1" applyAlignment="1">
      <alignment horizontal="center"/>
    </xf>
    <xf numFmtId="0" fontId="5" fillId="0" borderId="0" xfId="2" applyFont="1"/>
    <xf numFmtId="1" fontId="5" fillId="0" borderId="0" xfId="2" applyNumberFormat="1" applyFont="1" applyAlignment="1">
      <alignment horizontal="center"/>
    </xf>
    <xf numFmtId="0" fontId="5" fillId="0" borderId="0" xfId="2" applyFont="1" applyAlignment="1">
      <alignment horizontal="left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 vertical="center"/>
    </xf>
    <xf numFmtId="0" fontId="4" fillId="0" borderId="2" xfId="2" applyFont="1" applyBorder="1" applyAlignment="1">
      <alignment horizontal="center"/>
    </xf>
    <xf numFmtId="1" fontId="4" fillId="0" borderId="4" xfId="2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/>
    </xf>
    <xf numFmtId="0" fontId="4" fillId="0" borderId="4" xfId="2" applyFont="1" applyBorder="1" applyAlignment="1">
      <alignment horizontal="center"/>
    </xf>
    <xf numFmtId="0" fontId="4" fillId="0" borderId="4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left" vertical="center"/>
    </xf>
    <xf numFmtId="0" fontId="5" fillId="0" borderId="5" xfId="2" applyFont="1" applyBorder="1" applyAlignment="1">
      <alignment horizontal="center"/>
    </xf>
    <xf numFmtId="0" fontId="14" fillId="0" borderId="0" xfId="2" applyFont="1"/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1" fontId="14" fillId="0" borderId="0" xfId="2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/>
    </xf>
    <xf numFmtId="0" fontId="4" fillId="3" borderId="4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left" vertical="center"/>
    </xf>
    <xf numFmtId="1" fontId="4" fillId="3" borderId="4" xfId="2" applyNumberFormat="1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/>
    </xf>
    <xf numFmtId="0" fontId="5" fillId="3" borderId="4" xfId="2" applyFont="1" applyFill="1" applyBorder="1" applyAlignment="1">
      <alignment horizontal="left"/>
    </xf>
    <xf numFmtId="1" fontId="5" fillId="3" borderId="4" xfId="2" applyNumberFormat="1" applyFont="1" applyFill="1" applyBorder="1" applyAlignment="1">
      <alignment horizontal="center" vertical="center"/>
    </xf>
    <xf numFmtId="1" fontId="5" fillId="3" borderId="4" xfId="2" applyNumberFormat="1" applyFont="1" applyFill="1" applyBorder="1" applyAlignment="1">
      <alignment horizontal="center"/>
    </xf>
    <xf numFmtId="1" fontId="5" fillId="3" borderId="4" xfId="2" applyNumberFormat="1" applyFont="1" applyFill="1" applyBorder="1" applyAlignment="1">
      <alignment horizontal="center" shrinkToFit="1"/>
    </xf>
    <xf numFmtId="0" fontId="4" fillId="3" borderId="4" xfId="2" applyFont="1" applyFill="1" applyBorder="1" applyAlignment="1">
      <alignment horizontal="center"/>
    </xf>
    <xf numFmtId="0" fontId="5" fillId="3" borderId="4" xfId="2" applyFont="1" applyFill="1" applyBorder="1"/>
    <xf numFmtId="0" fontId="5" fillId="3" borderId="4" xfId="2" applyFont="1" applyFill="1" applyBorder="1" applyAlignment="1">
      <alignment vertical="top"/>
    </xf>
    <xf numFmtId="0" fontId="11" fillId="4" borderId="1" xfId="2" applyFont="1" applyFill="1" applyBorder="1"/>
    <xf numFmtId="0" fontId="11" fillId="4" borderId="1" xfId="2" applyFont="1" applyFill="1" applyBorder="1" applyAlignment="1">
      <alignment vertical="top" wrapText="1"/>
    </xf>
    <xf numFmtId="1" fontId="11" fillId="4" borderId="1" xfId="2" applyNumberFormat="1" applyFont="1" applyFill="1" applyBorder="1" applyAlignment="1">
      <alignment horizontal="center" vertical="center"/>
    </xf>
    <xf numFmtId="1" fontId="11" fillId="4" borderId="1" xfId="2" applyNumberFormat="1" applyFont="1" applyFill="1" applyBorder="1" applyAlignment="1">
      <alignment horizontal="center"/>
    </xf>
    <xf numFmtId="1" fontId="5" fillId="0" borderId="0" xfId="2" applyNumberFormat="1" applyFont="1" applyAlignment="1">
      <alignment horizontal="center" vertical="center"/>
    </xf>
    <xf numFmtId="165" fontId="5" fillId="3" borderId="4" xfId="2" applyNumberFormat="1" applyFont="1" applyFill="1" applyBorder="1" applyAlignment="1">
      <alignment horizontal="center" vertical="center"/>
    </xf>
    <xf numFmtId="165" fontId="5" fillId="3" borderId="4" xfId="2" applyNumberFormat="1" applyFont="1" applyFill="1" applyBorder="1" applyAlignment="1">
      <alignment horizontal="center"/>
    </xf>
    <xf numFmtId="0" fontId="4" fillId="5" borderId="4" xfId="2" applyFont="1" applyFill="1" applyBorder="1" applyAlignment="1">
      <alignment horizontal="center" vertical="center"/>
    </xf>
    <xf numFmtId="1" fontId="4" fillId="5" borderId="4" xfId="2" applyNumberFormat="1" applyFont="1" applyFill="1" applyBorder="1" applyAlignment="1">
      <alignment horizontal="center" vertical="center"/>
    </xf>
    <xf numFmtId="0" fontId="4" fillId="3" borderId="2" xfId="2" applyFont="1" applyFill="1" applyBorder="1"/>
    <xf numFmtId="0" fontId="4" fillId="3" borderId="6" xfId="2" applyFont="1" applyFill="1" applyBorder="1" applyAlignment="1">
      <alignment horizontal="center" vertical="center"/>
    </xf>
    <xf numFmtId="0" fontId="5" fillId="3" borderId="7" xfId="2" applyFont="1" applyFill="1" applyBorder="1"/>
    <xf numFmtId="0" fontId="5" fillId="3" borderId="3" xfId="2" applyFont="1" applyFill="1" applyBorder="1" applyAlignment="1">
      <alignment horizontal="center"/>
    </xf>
    <xf numFmtId="2" fontId="11" fillId="4" borderId="8" xfId="2" applyNumberFormat="1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0" fontId="5" fillId="0" borderId="0" xfId="2" applyFont="1" applyAlignment="1">
      <alignment vertical="center" wrapText="1"/>
    </xf>
    <xf numFmtId="0" fontId="5" fillId="0" borderId="2" xfId="2" applyFont="1" applyBorder="1"/>
    <xf numFmtId="0" fontId="15" fillId="4" borderId="10" xfId="2" applyFont="1" applyFill="1" applyBorder="1" applyAlignment="1">
      <alignment horizontal="right" vertical="center"/>
    </xf>
    <xf numFmtId="1" fontId="11" fillId="4" borderId="4" xfId="2" applyNumberFormat="1" applyFont="1" applyFill="1" applyBorder="1" applyAlignment="1">
      <alignment horizontal="center" vertical="center"/>
    </xf>
    <xf numFmtId="1" fontId="11" fillId="4" borderId="11" xfId="2" applyNumberFormat="1" applyFont="1" applyFill="1" applyBorder="1" applyAlignment="1">
      <alignment horizontal="center" vertical="center"/>
    </xf>
    <xf numFmtId="0" fontId="15" fillId="4" borderId="12" xfId="2" applyFont="1" applyFill="1" applyBorder="1" applyAlignment="1">
      <alignment horizontal="right" vertical="center"/>
    </xf>
    <xf numFmtId="1" fontId="11" fillId="4" borderId="8" xfId="2" applyNumberFormat="1" applyFont="1" applyFill="1" applyBorder="1" applyAlignment="1">
      <alignment horizontal="center" vertical="center"/>
    </xf>
    <xf numFmtId="0" fontId="5" fillId="0" borderId="4" xfId="2" applyFont="1" applyBorder="1"/>
    <xf numFmtId="0" fontId="11" fillId="4" borderId="12" xfId="2" applyFont="1" applyFill="1" applyBorder="1" applyAlignment="1">
      <alignment horizontal="center" vertical="center"/>
    </xf>
    <xf numFmtId="1" fontId="11" fillId="4" borderId="8" xfId="2" applyNumberFormat="1" applyFont="1" applyFill="1" applyBorder="1" applyAlignment="1">
      <alignment horizontal="center"/>
    </xf>
    <xf numFmtId="0" fontId="11" fillId="4" borderId="12" xfId="2" applyFont="1" applyFill="1" applyBorder="1" applyAlignment="1">
      <alignment horizontal="center" vertical="top"/>
    </xf>
    <xf numFmtId="0" fontId="11" fillId="4" borderId="12" xfId="2" applyFont="1" applyFill="1" applyBorder="1" applyAlignment="1">
      <alignment horizontal="center"/>
    </xf>
    <xf numFmtId="165" fontId="11" fillId="4" borderId="4" xfId="2" applyNumberFormat="1" applyFont="1" applyFill="1" applyBorder="1" applyAlignment="1">
      <alignment horizontal="center" vertical="center"/>
    </xf>
    <xf numFmtId="165" fontId="11" fillId="4" borderId="8" xfId="2" applyNumberFormat="1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1" fontId="17" fillId="2" borderId="13" xfId="2" applyNumberFormat="1" applyFont="1" applyFill="1" applyBorder="1" applyAlignment="1">
      <alignment horizontal="center" vertical="center"/>
    </xf>
    <xf numFmtId="1" fontId="18" fillId="2" borderId="13" xfId="2" applyNumberFormat="1" applyFont="1" applyFill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5" fillId="5" borderId="1" xfId="2" applyFont="1" applyFill="1" applyBorder="1" applyAlignment="1">
      <alignment vertical="center" wrapText="1"/>
    </xf>
    <xf numFmtId="2" fontId="5" fillId="5" borderId="1" xfId="2" applyNumberFormat="1" applyFont="1" applyFill="1" applyBorder="1" applyAlignment="1">
      <alignment horizontal="center" vertical="center"/>
    </xf>
    <xf numFmtId="2" fontId="5" fillId="5" borderId="12" xfId="2" applyNumberFormat="1" applyFont="1" applyFill="1" applyBorder="1" applyAlignment="1">
      <alignment horizontal="center" vertical="center"/>
    </xf>
    <xf numFmtId="2" fontId="5" fillId="5" borderId="0" xfId="2" applyNumberFormat="1" applyFont="1" applyFill="1" applyAlignment="1">
      <alignment horizontal="center" vertical="center"/>
    </xf>
    <xf numFmtId="0" fontId="4" fillId="0" borderId="4" xfId="2" applyFont="1" applyBorder="1"/>
    <xf numFmtId="0" fontId="11" fillId="4" borderId="1" xfId="2" applyFont="1" applyFill="1" applyBorder="1" applyAlignment="1">
      <alignment horizontal="center"/>
    </xf>
    <xf numFmtId="0" fontId="4" fillId="0" borderId="4" xfId="2" applyFont="1" applyBorder="1" applyAlignment="1">
      <alignment horizontal="center" vertical="center" textRotation="90"/>
    </xf>
    <xf numFmtId="165" fontId="5" fillId="0" borderId="0" xfId="2" applyNumberFormat="1" applyFont="1"/>
    <xf numFmtId="1" fontId="5" fillId="0" borderId="0" xfId="2" applyNumberFormat="1" applyFont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5" fillId="5" borderId="14" xfId="2" applyFont="1" applyFill="1" applyBorder="1" applyAlignment="1">
      <alignment horizontal="center" vertical="center"/>
    </xf>
    <xf numFmtId="1" fontId="5" fillId="5" borderId="14" xfId="2" applyNumberFormat="1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2" xfId="2" quotePrefix="1" applyFont="1" applyBorder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right"/>
    </xf>
    <xf numFmtId="0" fontId="9" fillId="0" borderId="0" xfId="2" applyFont="1" applyAlignment="1">
      <alignment horizontal="left"/>
    </xf>
    <xf numFmtId="0" fontId="19" fillId="0" borderId="0" xfId="2" applyFont="1"/>
    <xf numFmtId="1" fontId="5" fillId="0" borderId="0" xfId="2" applyNumberFormat="1" applyFont="1"/>
    <xf numFmtId="0" fontId="8" fillId="0" borderId="0" xfId="2" applyFont="1"/>
    <xf numFmtId="0" fontId="4" fillId="6" borderId="15" xfId="2" applyFont="1" applyFill="1" applyBorder="1" applyAlignment="1">
      <alignment vertical="center"/>
    </xf>
    <xf numFmtId="0" fontId="4" fillId="6" borderId="16" xfId="2" applyFont="1" applyFill="1" applyBorder="1" applyAlignment="1">
      <alignment vertical="center" wrapText="1"/>
    </xf>
    <xf numFmtId="165" fontId="4" fillId="6" borderId="16" xfId="2" applyNumberFormat="1" applyFont="1" applyFill="1" applyBorder="1" applyAlignment="1">
      <alignment horizontal="center" vertical="center"/>
    </xf>
    <xf numFmtId="1" fontId="4" fillId="6" borderId="16" xfId="2" applyNumberFormat="1" applyFont="1" applyFill="1" applyBorder="1" applyAlignment="1">
      <alignment horizontal="center"/>
    </xf>
    <xf numFmtId="1" fontId="4" fillId="6" borderId="17" xfId="2" applyNumberFormat="1" applyFont="1" applyFill="1" applyBorder="1" applyAlignment="1">
      <alignment horizontal="center"/>
    </xf>
    <xf numFmtId="164" fontId="11" fillId="4" borderId="1" xfId="2" applyNumberFormat="1" applyFont="1" applyFill="1" applyBorder="1" applyAlignment="1">
      <alignment horizontal="center" vertical="center"/>
    </xf>
    <xf numFmtId="0" fontId="21" fillId="0" borderId="0" xfId="2" applyFont="1" applyAlignment="1">
      <alignment vertical="center" textRotation="90"/>
    </xf>
    <xf numFmtId="0" fontId="11" fillId="4" borderId="1" xfId="2" applyFont="1" applyFill="1" applyBorder="1" applyAlignment="1">
      <alignment horizontal="right"/>
    </xf>
    <xf numFmtId="166" fontId="5" fillId="0" borderId="0" xfId="2" applyNumberFormat="1" applyFont="1"/>
    <xf numFmtId="0" fontId="4" fillId="6" borderId="16" xfId="2" applyFont="1" applyFill="1" applyBorder="1" applyAlignment="1">
      <alignment vertical="center"/>
    </xf>
    <xf numFmtId="165" fontId="5" fillId="6" borderId="16" xfId="2" applyNumberFormat="1" applyFont="1" applyFill="1" applyBorder="1" applyAlignment="1">
      <alignment horizontal="center" vertical="center"/>
    </xf>
    <xf numFmtId="1" fontId="5" fillId="6" borderId="16" xfId="2" applyNumberFormat="1" applyFont="1" applyFill="1" applyBorder="1" applyAlignment="1">
      <alignment horizontal="center"/>
    </xf>
    <xf numFmtId="1" fontId="5" fillId="6" borderId="17" xfId="2" applyNumberFormat="1" applyFont="1" applyFill="1" applyBorder="1" applyAlignment="1">
      <alignment horizontal="center"/>
    </xf>
    <xf numFmtId="0" fontId="4" fillId="6" borderId="0" xfId="2" applyFont="1" applyFill="1" applyAlignment="1">
      <alignment vertical="center"/>
    </xf>
    <xf numFmtId="0" fontId="5" fillId="7" borderId="18" xfId="2" applyFont="1" applyFill="1" applyBorder="1" applyAlignment="1">
      <alignment vertical="center"/>
    </xf>
    <xf numFmtId="165" fontId="5" fillId="6" borderId="4" xfId="2" applyNumberFormat="1" applyFont="1" applyFill="1" applyBorder="1" applyAlignment="1">
      <alignment horizontal="center" vertical="center"/>
    </xf>
    <xf numFmtId="1" fontId="5" fillId="6" borderId="4" xfId="2" applyNumberFormat="1" applyFont="1" applyFill="1" applyBorder="1" applyAlignment="1">
      <alignment horizontal="center"/>
    </xf>
    <xf numFmtId="166" fontId="11" fillId="4" borderId="1" xfId="2" applyNumberFormat="1" applyFont="1" applyFill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1" fontId="4" fillId="8" borderId="4" xfId="2" applyNumberFormat="1" applyFont="1" applyFill="1" applyBorder="1" applyAlignment="1">
      <alignment horizontal="center" vertical="center"/>
    </xf>
    <xf numFmtId="1" fontId="4" fillId="8" borderId="4" xfId="2" applyNumberFormat="1" applyFont="1" applyFill="1" applyBorder="1" applyAlignment="1">
      <alignment horizontal="center"/>
    </xf>
    <xf numFmtId="1" fontId="4" fillId="8" borderId="2" xfId="2" applyNumberFormat="1" applyFont="1" applyFill="1" applyBorder="1" applyAlignment="1">
      <alignment horizontal="center" vertical="center"/>
    </xf>
    <xf numFmtId="0" fontId="5" fillId="0" borderId="4" xfId="2" applyFont="1" applyBorder="1" applyAlignment="1">
      <alignment vertical="center" wrapText="1"/>
    </xf>
    <xf numFmtId="1" fontId="11" fillId="4" borderId="1" xfId="2" applyNumberFormat="1" applyFont="1" applyFill="1" applyBorder="1" applyAlignment="1">
      <alignment horizontal="center" vertical="center" wrapText="1"/>
    </xf>
    <xf numFmtId="0" fontId="5" fillId="8" borderId="1" xfId="2" applyFont="1" applyFill="1" applyBorder="1" applyAlignment="1">
      <alignment horizontal="center" vertical="center"/>
    </xf>
    <xf numFmtId="1" fontId="5" fillId="8" borderId="1" xfId="2" applyNumberFormat="1" applyFont="1" applyFill="1" applyBorder="1" applyAlignment="1">
      <alignment horizontal="center" vertical="center" wrapText="1"/>
    </xf>
    <xf numFmtId="166" fontId="11" fillId="0" borderId="1" xfId="2" applyNumberFormat="1" applyFont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1" fontId="5" fillId="8" borderId="4" xfId="2" applyNumberFormat="1" applyFont="1" applyFill="1" applyBorder="1" applyAlignment="1">
      <alignment horizontal="center" vertical="center"/>
    </xf>
    <xf numFmtId="1" fontId="5" fillId="8" borderId="2" xfId="2" applyNumberFormat="1" applyFont="1" applyFill="1" applyBorder="1" applyAlignment="1">
      <alignment horizontal="center" vertical="center"/>
    </xf>
    <xf numFmtId="0" fontId="22" fillId="4" borderId="1" xfId="2" applyFont="1" applyFill="1" applyBorder="1" applyAlignment="1">
      <alignment horizontal="left" vertical="center"/>
    </xf>
    <xf numFmtId="0" fontId="11" fillId="4" borderId="1" xfId="2" applyFont="1" applyFill="1" applyBorder="1" applyAlignment="1">
      <alignment horizontal="right" vertical="center"/>
    </xf>
    <xf numFmtId="2" fontId="11" fillId="4" borderId="1" xfId="2" applyNumberFormat="1" applyFont="1" applyFill="1" applyBorder="1" applyAlignment="1">
      <alignment horizontal="center" vertical="center"/>
    </xf>
    <xf numFmtId="0" fontId="11" fillId="4" borderId="1" xfId="2" quotePrefix="1" applyFont="1" applyFill="1" applyBorder="1" applyAlignment="1">
      <alignment horizontal="right" vertical="center"/>
    </xf>
    <xf numFmtId="0" fontId="23" fillId="9" borderId="1" xfId="2" applyFont="1" applyFill="1" applyBorder="1" applyAlignment="1">
      <alignment horizontal="left" vertical="top"/>
    </xf>
    <xf numFmtId="1" fontId="23" fillId="9" borderId="1" xfId="2" applyNumberFormat="1" applyFont="1" applyFill="1" applyBorder="1" applyAlignment="1">
      <alignment horizontal="center" vertical="center"/>
    </xf>
    <xf numFmtId="0" fontId="23" fillId="9" borderId="1" xfId="2" applyFont="1" applyFill="1" applyBorder="1" applyAlignment="1">
      <alignment horizontal="right" vertical="top"/>
    </xf>
    <xf numFmtId="0" fontId="23" fillId="9" borderId="1" xfId="2" applyFont="1" applyFill="1" applyBorder="1" applyAlignment="1">
      <alignment horizontal="left" vertical="center"/>
    </xf>
    <xf numFmtId="0" fontId="23" fillId="9" borderId="1" xfId="2" applyFont="1" applyFill="1" applyBorder="1" applyAlignment="1">
      <alignment horizontal="right" vertical="center"/>
    </xf>
    <xf numFmtId="0" fontId="15" fillId="4" borderId="1" xfId="2" applyFont="1" applyFill="1" applyBorder="1" applyAlignment="1">
      <alignment horizontal="left" vertical="center"/>
    </xf>
    <xf numFmtId="0" fontId="8" fillId="0" borderId="0" xfId="2" applyFont="1" applyAlignment="1">
      <alignment horizontal="center" vertical="center" wrapText="1"/>
    </xf>
    <xf numFmtId="1" fontId="8" fillId="0" borderId="0" xfId="2" applyNumberFormat="1" applyFont="1" applyAlignment="1">
      <alignment horizontal="center"/>
    </xf>
    <xf numFmtId="0" fontId="5" fillId="10" borderId="4" xfId="2" applyFont="1" applyFill="1" applyBorder="1" applyAlignment="1">
      <alignment horizontal="center" vertical="center"/>
    </xf>
    <xf numFmtId="0" fontId="5" fillId="10" borderId="4" xfId="2" applyFont="1" applyFill="1" applyBorder="1" applyAlignment="1">
      <alignment horizontal="center" vertical="center" wrapText="1"/>
    </xf>
    <xf numFmtId="0" fontId="5" fillId="10" borderId="4" xfId="2" applyFont="1" applyFill="1" applyBorder="1" applyAlignment="1">
      <alignment horizontal="center"/>
    </xf>
    <xf numFmtId="0" fontId="5" fillId="10" borderId="4" xfId="2" applyFont="1" applyFill="1" applyBorder="1" applyAlignment="1">
      <alignment horizontal="center" wrapText="1"/>
    </xf>
    <xf numFmtId="0" fontId="12" fillId="10" borderId="4" xfId="2" applyFont="1" applyFill="1" applyBorder="1" applyAlignment="1">
      <alignment horizontal="center"/>
    </xf>
    <xf numFmtId="0" fontId="26" fillId="0" borderId="0" xfId="3" applyAlignment="1">
      <alignment vertical="top"/>
    </xf>
    <xf numFmtId="0" fontId="0" fillId="0" borderId="0" xfId="0" applyAlignment="1">
      <alignment horizontal="left" vertical="center"/>
    </xf>
    <xf numFmtId="9" fontId="0" fillId="0" borderId="21" xfId="0" applyNumberFormat="1" applyBorder="1" applyAlignment="1">
      <alignment horizontal="center" vertical="center"/>
    </xf>
    <xf numFmtId="164" fontId="5" fillId="0" borderId="22" xfId="1" applyNumberFormat="1" applyFont="1" applyBorder="1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0" fontId="0" fillId="0" borderId="24" xfId="0" applyBorder="1"/>
    <xf numFmtId="0" fontId="27" fillId="0" borderId="26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26" fillId="0" borderId="0" xfId="3" applyAlignment="1">
      <alignment horizontal="left" vertical="center"/>
    </xf>
    <xf numFmtId="0" fontId="28" fillId="0" borderId="0" xfId="0" applyFont="1"/>
    <xf numFmtId="0" fontId="29" fillId="0" borderId="23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2" fontId="5" fillId="3" borderId="4" xfId="2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7" fillId="0" borderId="0" xfId="0" applyFont="1"/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0" fontId="0" fillId="0" borderId="30" xfId="0" applyBorder="1"/>
    <xf numFmtId="164" fontId="20" fillId="0" borderId="0" xfId="1" applyNumberFormat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0" fillId="0" borderId="22" xfId="0" applyBorder="1"/>
    <xf numFmtId="0" fontId="27" fillId="0" borderId="29" xfId="0" applyFont="1" applyBorder="1" applyAlignment="1">
      <alignment horizontal="center" vertical="center"/>
    </xf>
    <xf numFmtId="164" fontId="20" fillId="0" borderId="22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0" xfId="4" applyNumberFormat="1" applyFont="1" applyBorder="1" applyAlignment="1">
      <alignment horizontal="center" vertical="center"/>
    </xf>
    <xf numFmtId="0" fontId="0" fillId="0" borderId="22" xfId="4" applyNumberFormat="1" applyFon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26" fillId="0" borderId="0" xfId="3"/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31" fillId="0" borderId="0" xfId="0" applyFont="1"/>
    <xf numFmtId="0" fontId="26" fillId="0" borderId="0" xfId="3" applyAlignment="1">
      <alignment wrapText="1"/>
    </xf>
    <xf numFmtId="0" fontId="1" fillId="0" borderId="0" xfId="5" applyAlignment="1">
      <alignment horizontal="center"/>
    </xf>
    <xf numFmtId="167" fontId="1" fillId="0" borderId="0" xfId="5" applyNumberFormat="1" applyAlignment="1">
      <alignment horizontal="center" wrapText="1"/>
    </xf>
    <xf numFmtId="0" fontId="1" fillId="0" borderId="0" xfId="5"/>
    <xf numFmtId="0" fontId="1" fillId="0" borderId="30" xfId="5" applyBorder="1" applyAlignment="1">
      <alignment horizontal="center"/>
    </xf>
    <xf numFmtId="1" fontId="2" fillId="0" borderId="32" xfId="6" applyNumberFormat="1" applyBorder="1" applyAlignment="1">
      <alignment horizontal="center" wrapText="1"/>
    </xf>
    <xf numFmtId="1" fontId="2" fillId="0" borderId="33" xfId="6" applyNumberFormat="1" applyBorder="1" applyAlignment="1">
      <alignment horizontal="center" wrapText="1"/>
    </xf>
    <xf numFmtId="0" fontId="2" fillId="0" borderId="0" xfId="6" applyAlignment="1">
      <alignment horizontal="center" vertical="center"/>
    </xf>
    <xf numFmtId="167" fontId="1" fillId="0" borderId="0" xfId="5" applyNumberFormat="1" applyAlignment="1">
      <alignment horizontal="center" vertical="center"/>
    </xf>
    <xf numFmtId="2" fontId="2" fillId="0" borderId="0" xfId="6" applyNumberFormat="1" applyAlignment="1">
      <alignment horizontal="center" vertical="center"/>
    </xf>
    <xf numFmtId="9" fontId="0" fillId="0" borderId="0" xfId="7" applyFont="1"/>
    <xf numFmtId="9" fontId="1" fillId="0" borderId="0" xfId="5" applyNumberFormat="1"/>
    <xf numFmtId="2" fontId="0" fillId="0" borderId="0" xfId="0" applyNumberFormat="1"/>
    <xf numFmtId="2" fontId="32" fillId="0" borderId="0" xfId="0" applyNumberFormat="1" applyFont="1"/>
    <xf numFmtId="2" fontId="0" fillId="0" borderId="0" xfId="0" applyNumberFormat="1" applyAlignment="1">
      <alignment wrapText="1"/>
    </xf>
    <xf numFmtId="0" fontId="33" fillId="0" borderId="30" xfId="5" applyFont="1" applyBorder="1" applyAlignment="1">
      <alignment horizontal="center"/>
    </xf>
    <xf numFmtId="1" fontId="34" fillId="0" borderId="32" xfId="6" applyNumberFormat="1" applyFont="1" applyBorder="1" applyAlignment="1">
      <alignment horizontal="center" wrapText="1"/>
    </xf>
    <xf numFmtId="1" fontId="34" fillId="0" borderId="33" xfId="6" applyNumberFormat="1" applyFont="1" applyBorder="1" applyAlignment="1">
      <alignment horizontal="center" wrapText="1"/>
    </xf>
    <xf numFmtId="0" fontId="33" fillId="0" borderId="0" xfId="5" applyFont="1"/>
    <xf numFmtId="0" fontId="29" fillId="0" borderId="0" xfId="0" applyFont="1"/>
    <xf numFmtId="0" fontId="29" fillId="0" borderId="24" xfId="0" applyFont="1" applyBorder="1"/>
    <xf numFmtId="0" fontId="29" fillId="0" borderId="26" xfId="0" applyFont="1" applyBorder="1"/>
    <xf numFmtId="0" fontId="29" fillId="0" borderId="31" xfId="0" applyFont="1" applyBorder="1" applyAlignment="1">
      <alignment horizontal="right"/>
    </xf>
    <xf numFmtId="0" fontId="29" fillId="0" borderId="29" xfId="0" applyFont="1" applyBorder="1" applyAlignment="1">
      <alignment horizontal="right"/>
    </xf>
    <xf numFmtId="0" fontId="30" fillId="0" borderId="31" xfId="0" applyFont="1" applyBorder="1"/>
    <xf numFmtId="0" fontId="30" fillId="0" borderId="29" xfId="0" applyFont="1" applyBorder="1"/>
    <xf numFmtId="0" fontId="29" fillId="0" borderId="19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20" fillId="0" borderId="32" xfId="1" applyNumberFormat="1" applyFont="1" applyBorder="1" applyAlignment="1">
      <alignment horizontal="center" vertical="center"/>
    </xf>
    <xf numFmtId="164" fontId="20" fillId="0" borderId="33" xfId="1" applyNumberFormat="1" applyFont="1" applyBorder="1" applyAlignment="1">
      <alignment horizontal="center" vertical="center"/>
    </xf>
    <xf numFmtId="164" fontId="20" fillId="0" borderId="20" xfId="1" applyNumberFormat="1" applyFont="1" applyBorder="1" applyAlignment="1">
      <alignment horizontal="center" vertical="center"/>
    </xf>
    <xf numFmtId="164" fontId="20" fillId="0" borderId="2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7" fillId="0" borderId="27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9" fontId="28" fillId="0" borderId="23" xfId="4" applyFont="1" applyBorder="1" applyAlignment="1">
      <alignment horizontal="center" vertical="center"/>
    </xf>
    <xf numFmtId="9" fontId="0" fillId="0" borderId="0" xfId="0" applyNumberFormat="1" applyAlignment="1">
      <alignment horizontal="left"/>
    </xf>
    <xf numFmtId="0" fontId="27" fillId="12" borderId="31" xfId="0" applyFont="1" applyFill="1" applyBorder="1" applyAlignment="1">
      <alignment horizontal="center" vertical="center"/>
    </xf>
    <xf numFmtId="164" fontId="0" fillId="12" borderId="0" xfId="1" applyNumberFormat="1" applyFont="1" applyFill="1" applyBorder="1" applyAlignment="1">
      <alignment horizontal="center" vertical="center"/>
    </xf>
    <xf numFmtId="164" fontId="0" fillId="12" borderId="22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35" fillId="0" borderId="0" xfId="0" applyFont="1"/>
    <xf numFmtId="9" fontId="28" fillId="0" borderId="20" xfId="0" applyNumberFormat="1" applyFont="1" applyBorder="1" applyAlignment="1">
      <alignment horizontal="center" vertical="center"/>
    </xf>
    <xf numFmtId="0" fontId="30" fillId="0" borderId="30" xfId="0" applyFont="1" applyBorder="1"/>
    <xf numFmtId="168" fontId="28" fillId="0" borderId="27" xfId="4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68" fontId="28" fillId="0" borderId="28" xfId="4" applyNumberFormat="1" applyFont="1" applyBorder="1" applyAlignment="1">
      <alignment horizontal="center" vertical="center"/>
    </xf>
    <xf numFmtId="9" fontId="28" fillId="0" borderId="21" xfId="4" applyFont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5" fillId="0" borderId="0" xfId="2" applyFont="1"/>
    <xf numFmtId="0" fontId="4" fillId="0" borderId="2" xfId="2" applyFont="1" applyBorder="1" applyAlignment="1">
      <alignment horizontal="center"/>
    </xf>
    <xf numFmtId="0" fontId="10" fillId="0" borderId="3" xfId="2" applyFont="1" applyBorder="1"/>
    <xf numFmtId="0" fontId="5" fillId="0" borderId="0" xfId="2" applyFont="1" applyAlignment="1">
      <alignment horizontal="left" wrapText="1"/>
    </xf>
    <xf numFmtId="0" fontId="3" fillId="0" borderId="0" xfId="2"/>
    <xf numFmtId="0" fontId="8" fillId="0" borderId="0" xfId="2" applyFont="1" applyAlignment="1">
      <alignment horizontal="left" wrapText="1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36" fillId="0" borderId="27" xfId="0" applyFont="1" applyBorder="1"/>
    <xf numFmtId="0" fontId="36" fillId="0" borderId="23" xfId="0" applyFont="1" applyBorder="1"/>
    <xf numFmtId="0" fontId="36" fillId="0" borderId="28" xfId="0" applyFont="1" applyBorder="1"/>
    <xf numFmtId="164" fontId="0" fillId="0" borderId="0" xfId="1" applyNumberFormat="1" applyFont="1" applyAlignment="1">
      <alignment horizontal="center" vertical="center"/>
    </xf>
  </cellXfs>
  <cellStyles count="8">
    <cellStyle name="Comma" xfId="1" builtinId="3"/>
    <cellStyle name="Hyperlink" xfId="3" builtinId="8"/>
    <cellStyle name="Normal" xfId="0" builtinId="0"/>
    <cellStyle name="Normal 2" xfId="2" xr:uid="{972924D9-613D-4DA5-820B-5760A7010268}"/>
    <cellStyle name="Normal 2 2" xfId="6" xr:uid="{76B30BFC-CCB2-1946-B21D-BBD0F5E1D07F}"/>
    <cellStyle name="Normal 3" xfId="5" xr:uid="{7FFFD046-A747-1445-88F9-B5C519CE4D26}"/>
    <cellStyle name="Percent" xfId="4" builtinId="5"/>
    <cellStyle name="Percent 2" xfId="7" xr:uid="{B1B60DEA-E7A2-764B-AB4D-0B6F369BE08B}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Summer Flow Percentile</a:t>
            </a:r>
          </a:p>
        </c:rich>
      </c:tx>
      <c:layout>
        <c:manualLayout>
          <c:xMode val="edge"/>
          <c:yMode val="edge"/>
          <c:x val="0.29126372623215846"/>
          <c:y val="3.0180175822616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112975675904736E-2"/>
          <c:y val="2.0430028871221893E-2"/>
          <c:w val="0.89250500389558696"/>
          <c:h val="0.80395395200050157"/>
        </c:manualLayout>
      </c:layout>
      <c:areaChart>
        <c:grouping val="stacked"/>
        <c:varyColors val="0"/>
        <c:ser>
          <c:idx val="2"/>
          <c:order val="0"/>
          <c:tx>
            <c:strRef>
              <c:f>'Inflow Quantiles - Seasonal'!$A$26</c:f>
              <c:strCache>
                <c:ptCount val="1"/>
                <c:pt idx="0">
                  <c:v>AboveWoodruff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'Inflow Quantiles - Seasonal'!$B$26:$CW$26</c:f>
              <c:numCache>
                <c:formatCode>0.00</c:formatCode>
                <c:ptCount val="100"/>
                <c:pt idx="0">
                  <c:v>32.171840017500003</c:v>
                </c:pt>
                <c:pt idx="1">
                  <c:v>32.788399335000001</c:v>
                </c:pt>
                <c:pt idx="2">
                  <c:v>33.4049586525</c:v>
                </c:pt>
                <c:pt idx="3">
                  <c:v>34.021517969999998</c:v>
                </c:pt>
                <c:pt idx="4">
                  <c:v>34.522220512499999</c:v>
                </c:pt>
                <c:pt idx="5">
                  <c:v>35.022923055</c:v>
                </c:pt>
                <c:pt idx="6">
                  <c:v>35.523625597500001</c:v>
                </c:pt>
                <c:pt idx="7">
                  <c:v>36.024328140000001</c:v>
                </c:pt>
                <c:pt idx="8">
                  <c:v>39.056047605000003</c:v>
                </c:pt>
                <c:pt idx="9">
                  <c:v>42.087767069999998</c:v>
                </c:pt>
                <c:pt idx="10">
                  <c:v>45.119486535</c:v>
                </c:pt>
                <c:pt idx="11">
                  <c:v>48.151206000000002</c:v>
                </c:pt>
                <c:pt idx="12">
                  <c:v>48.516147404999998</c:v>
                </c:pt>
                <c:pt idx="13">
                  <c:v>48.881088810000001</c:v>
                </c:pt>
                <c:pt idx="14">
                  <c:v>49.246030214999998</c:v>
                </c:pt>
                <c:pt idx="15">
                  <c:v>49.610971620000001</c:v>
                </c:pt>
                <c:pt idx="16">
                  <c:v>49.839839564999998</c:v>
                </c:pt>
                <c:pt idx="17">
                  <c:v>50.068707510000003</c:v>
                </c:pt>
                <c:pt idx="18">
                  <c:v>50.297575455</c:v>
                </c:pt>
                <c:pt idx="19">
                  <c:v>50.526443399999998</c:v>
                </c:pt>
                <c:pt idx="20">
                  <c:v>51.326608687499998</c:v>
                </c:pt>
                <c:pt idx="21">
                  <c:v>52.126773974999999</c:v>
                </c:pt>
                <c:pt idx="22">
                  <c:v>52.926939262499999</c:v>
                </c:pt>
                <c:pt idx="23">
                  <c:v>53.72710455</c:v>
                </c:pt>
                <c:pt idx="24">
                  <c:v>53.868551940000003</c:v>
                </c:pt>
                <c:pt idx="25">
                  <c:v>54.009999329999999</c:v>
                </c:pt>
                <c:pt idx="26">
                  <c:v>54.151446720000003</c:v>
                </c:pt>
                <c:pt idx="27">
                  <c:v>54.292894109999999</c:v>
                </c:pt>
                <c:pt idx="28">
                  <c:v>55.978870454999999</c:v>
                </c:pt>
                <c:pt idx="29">
                  <c:v>57.664846799999999</c:v>
                </c:pt>
                <c:pt idx="30">
                  <c:v>59.350823145</c:v>
                </c:pt>
                <c:pt idx="31">
                  <c:v>61.03679949</c:v>
                </c:pt>
                <c:pt idx="32">
                  <c:v>61.587314992499998</c:v>
                </c:pt>
                <c:pt idx="33">
                  <c:v>62.137830495000003</c:v>
                </c:pt>
                <c:pt idx="34">
                  <c:v>62.688345997500001</c:v>
                </c:pt>
                <c:pt idx="35">
                  <c:v>63.238861499999999</c:v>
                </c:pt>
                <c:pt idx="36">
                  <c:v>64.512344100000007</c:v>
                </c:pt>
                <c:pt idx="37">
                  <c:v>65.785826700000001</c:v>
                </c:pt>
                <c:pt idx="38">
                  <c:v>67.059309299999995</c:v>
                </c:pt>
                <c:pt idx="39">
                  <c:v>68.332791900000004</c:v>
                </c:pt>
                <c:pt idx="40">
                  <c:v>70.545443129999995</c:v>
                </c:pt>
                <c:pt idx="41">
                  <c:v>72.758094360000001</c:v>
                </c:pt>
                <c:pt idx="42">
                  <c:v>74.970745590000007</c:v>
                </c:pt>
                <c:pt idx="43">
                  <c:v>77.183396819999999</c:v>
                </c:pt>
                <c:pt idx="44">
                  <c:v>78.362488619999993</c:v>
                </c:pt>
                <c:pt idx="45">
                  <c:v>79.541580420000003</c:v>
                </c:pt>
                <c:pt idx="46">
                  <c:v>80.720672219999997</c:v>
                </c:pt>
                <c:pt idx="47">
                  <c:v>81.899764020000006</c:v>
                </c:pt>
                <c:pt idx="48">
                  <c:v>85.609942147500007</c:v>
                </c:pt>
                <c:pt idx="49">
                  <c:v>89.320120274999994</c:v>
                </c:pt>
                <c:pt idx="50">
                  <c:v>93.030298402499994</c:v>
                </c:pt>
                <c:pt idx="51">
                  <c:v>96.740476529999995</c:v>
                </c:pt>
                <c:pt idx="52">
                  <c:v>97.776836947500001</c:v>
                </c:pt>
                <c:pt idx="53">
                  <c:v>98.813197364999994</c:v>
                </c:pt>
                <c:pt idx="54">
                  <c:v>99.8495577825</c:v>
                </c:pt>
                <c:pt idx="55">
                  <c:v>100.88591820000001</c:v>
                </c:pt>
                <c:pt idx="56">
                  <c:v>104.49204336</c:v>
                </c:pt>
                <c:pt idx="57">
                  <c:v>108.09816852</c:v>
                </c:pt>
                <c:pt idx="58">
                  <c:v>111.70429368000001</c:v>
                </c:pt>
                <c:pt idx="59">
                  <c:v>115.31041884</c:v>
                </c:pt>
                <c:pt idx="60">
                  <c:v>118.193710755</c:v>
                </c:pt>
                <c:pt idx="61">
                  <c:v>121.07700267</c:v>
                </c:pt>
                <c:pt idx="62">
                  <c:v>123.960294585</c:v>
                </c:pt>
                <c:pt idx="63">
                  <c:v>126.8435865</c:v>
                </c:pt>
                <c:pt idx="64">
                  <c:v>127.7244103125</c:v>
                </c:pt>
                <c:pt idx="65">
                  <c:v>128.60523412500001</c:v>
                </c:pt>
                <c:pt idx="66">
                  <c:v>129.48605793749999</c:v>
                </c:pt>
                <c:pt idx="67">
                  <c:v>130.36688175</c:v>
                </c:pt>
                <c:pt idx="68">
                  <c:v>131.39797730250001</c:v>
                </c:pt>
                <c:pt idx="69">
                  <c:v>132.42907285499999</c:v>
                </c:pt>
                <c:pt idx="70">
                  <c:v>133.46016840749999</c:v>
                </c:pt>
                <c:pt idx="71">
                  <c:v>134.49126396</c:v>
                </c:pt>
                <c:pt idx="72">
                  <c:v>135.17647969500001</c:v>
                </c:pt>
                <c:pt idx="73">
                  <c:v>135.86169543</c:v>
                </c:pt>
                <c:pt idx="74">
                  <c:v>136.54691116500001</c:v>
                </c:pt>
                <c:pt idx="75">
                  <c:v>137.2321269</c:v>
                </c:pt>
                <c:pt idx="76">
                  <c:v>138.66780402750001</c:v>
                </c:pt>
                <c:pt idx="77">
                  <c:v>140.103481155</c:v>
                </c:pt>
                <c:pt idx="78">
                  <c:v>141.53915828250001</c:v>
                </c:pt>
                <c:pt idx="79">
                  <c:v>142.97483541</c:v>
                </c:pt>
                <c:pt idx="80">
                  <c:v>145.52947481999999</c:v>
                </c:pt>
                <c:pt idx="81">
                  <c:v>148.08411423000001</c:v>
                </c:pt>
                <c:pt idx="82">
                  <c:v>150.63875364</c:v>
                </c:pt>
                <c:pt idx="83">
                  <c:v>153.19339305</c:v>
                </c:pt>
                <c:pt idx="84">
                  <c:v>156.71210261249999</c:v>
                </c:pt>
                <c:pt idx="85">
                  <c:v>160.23081217500001</c:v>
                </c:pt>
                <c:pt idx="86">
                  <c:v>163.7495217375</c:v>
                </c:pt>
                <c:pt idx="87">
                  <c:v>167.2682313</c:v>
                </c:pt>
                <c:pt idx="88">
                  <c:v>168.1931272875</c:v>
                </c:pt>
                <c:pt idx="89">
                  <c:v>169.11802327500001</c:v>
                </c:pt>
                <c:pt idx="90">
                  <c:v>170.04291926249999</c:v>
                </c:pt>
                <c:pt idx="91">
                  <c:v>170.96781525</c:v>
                </c:pt>
                <c:pt idx="92">
                  <c:v>182.56049769750001</c:v>
                </c:pt>
                <c:pt idx="93">
                  <c:v>194.15318014499999</c:v>
                </c:pt>
                <c:pt idx="94">
                  <c:v>205.7458625925</c:v>
                </c:pt>
                <c:pt idx="95">
                  <c:v>217.33854504000001</c:v>
                </c:pt>
                <c:pt idx="96">
                  <c:v>249.41784340500001</c:v>
                </c:pt>
                <c:pt idx="97">
                  <c:v>281.49714176999998</c:v>
                </c:pt>
                <c:pt idx="98">
                  <c:v>313.57644013499998</c:v>
                </c:pt>
                <c:pt idx="99">
                  <c:v>345.65573849999998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2-8F46-90D2-0365AE685D8D}"/>
            </c:ext>
          </c:extLst>
        </c:ser>
        <c:ser>
          <c:idx val="0"/>
          <c:order val="1"/>
          <c:tx>
            <c:strRef>
              <c:f>'Inflow Quantiles - Seasonal'!$A$27</c:f>
              <c:strCache>
                <c:ptCount val="1"/>
                <c:pt idx="0">
                  <c:v>BelowPixley_Cokeville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'Inflow Quantiles - Seasonal'!$B$27:$CW$27</c:f>
              <c:numCache>
                <c:formatCode>0.00</c:formatCode>
                <c:ptCount val="100"/>
                <c:pt idx="0">
                  <c:v>1.8200172299999999</c:v>
                </c:pt>
                <c:pt idx="1">
                  <c:v>2.22722628</c:v>
                </c:pt>
                <c:pt idx="2">
                  <c:v>2.6344353300000001</c:v>
                </c:pt>
                <c:pt idx="3">
                  <c:v>3.0416443800000001</c:v>
                </c:pt>
                <c:pt idx="4">
                  <c:v>3.2852113125</c:v>
                </c:pt>
                <c:pt idx="5">
                  <c:v>3.5287782449999998</c:v>
                </c:pt>
                <c:pt idx="6">
                  <c:v>3.7723451775000001</c:v>
                </c:pt>
                <c:pt idx="7">
                  <c:v>4.0159121100000004</c:v>
                </c:pt>
                <c:pt idx="8">
                  <c:v>4.0575055349999998</c:v>
                </c:pt>
                <c:pt idx="9">
                  <c:v>4.0990989600000001</c:v>
                </c:pt>
                <c:pt idx="10">
                  <c:v>4.1406923850000004</c:v>
                </c:pt>
                <c:pt idx="11">
                  <c:v>4.1822858099999998</c:v>
                </c:pt>
                <c:pt idx="12">
                  <c:v>4.3198068599999999</c:v>
                </c:pt>
                <c:pt idx="13">
                  <c:v>4.4573279100000001</c:v>
                </c:pt>
                <c:pt idx="14">
                  <c:v>4.5948489600000002</c:v>
                </c:pt>
                <c:pt idx="15">
                  <c:v>4.7323700100000003</c:v>
                </c:pt>
                <c:pt idx="16">
                  <c:v>5.8000370400000003</c:v>
                </c:pt>
                <c:pt idx="17">
                  <c:v>6.8677040700000003</c:v>
                </c:pt>
                <c:pt idx="18">
                  <c:v>7.9353711000000002</c:v>
                </c:pt>
                <c:pt idx="19">
                  <c:v>9.0030381300000002</c:v>
                </c:pt>
                <c:pt idx="20">
                  <c:v>10.1082582225</c:v>
                </c:pt>
                <c:pt idx="21">
                  <c:v>11.213478315</c:v>
                </c:pt>
                <c:pt idx="22">
                  <c:v>12.318698407499999</c:v>
                </c:pt>
                <c:pt idx="23">
                  <c:v>13.423918499999999</c:v>
                </c:pt>
                <c:pt idx="24">
                  <c:v>13.669042087499999</c:v>
                </c:pt>
                <c:pt idx="25">
                  <c:v>13.914165675</c:v>
                </c:pt>
                <c:pt idx="26">
                  <c:v>14.1592892625</c:v>
                </c:pt>
                <c:pt idx="27">
                  <c:v>14.40441285</c:v>
                </c:pt>
                <c:pt idx="28">
                  <c:v>14.808553207499999</c:v>
                </c:pt>
                <c:pt idx="29">
                  <c:v>15.212693565</c:v>
                </c:pt>
                <c:pt idx="30">
                  <c:v>15.6168339225</c:v>
                </c:pt>
                <c:pt idx="31">
                  <c:v>16.020974280000001</c:v>
                </c:pt>
                <c:pt idx="32">
                  <c:v>17.476089765000001</c:v>
                </c:pt>
                <c:pt idx="33">
                  <c:v>18.931205250000001</c:v>
                </c:pt>
                <c:pt idx="34">
                  <c:v>20.386320735000002</c:v>
                </c:pt>
                <c:pt idx="35">
                  <c:v>21.841436219999999</c:v>
                </c:pt>
                <c:pt idx="36">
                  <c:v>22.841443290000001</c:v>
                </c:pt>
                <c:pt idx="37">
                  <c:v>23.84145036</c:v>
                </c:pt>
                <c:pt idx="38">
                  <c:v>24.841457429999998</c:v>
                </c:pt>
                <c:pt idx="39">
                  <c:v>25.841464500000001</c:v>
                </c:pt>
                <c:pt idx="40">
                  <c:v>26.426994825000001</c:v>
                </c:pt>
                <c:pt idx="41">
                  <c:v>27.012525149999998</c:v>
                </c:pt>
                <c:pt idx="42">
                  <c:v>27.598055474999999</c:v>
                </c:pt>
                <c:pt idx="43">
                  <c:v>28.183585799999999</c:v>
                </c:pt>
                <c:pt idx="44">
                  <c:v>28.768912867499999</c:v>
                </c:pt>
                <c:pt idx="45">
                  <c:v>29.354239934999999</c:v>
                </c:pt>
                <c:pt idx="46">
                  <c:v>29.939567002499999</c:v>
                </c:pt>
                <c:pt idx="47">
                  <c:v>30.524894069999998</c:v>
                </c:pt>
                <c:pt idx="48">
                  <c:v>32.896765327499999</c:v>
                </c:pt>
                <c:pt idx="49">
                  <c:v>35.268636585000003</c:v>
                </c:pt>
                <c:pt idx="50">
                  <c:v>37.6405078425</c:v>
                </c:pt>
                <c:pt idx="51">
                  <c:v>40.012379099999997</c:v>
                </c:pt>
                <c:pt idx="52">
                  <c:v>41.603389575000001</c:v>
                </c:pt>
                <c:pt idx="53">
                  <c:v>43.194400049999999</c:v>
                </c:pt>
                <c:pt idx="54">
                  <c:v>44.785410525000003</c:v>
                </c:pt>
                <c:pt idx="55">
                  <c:v>46.376421000000001</c:v>
                </c:pt>
                <c:pt idx="56">
                  <c:v>47.737140727499998</c:v>
                </c:pt>
                <c:pt idx="57">
                  <c:v>49.097860455000003</c:v>
                </c:pt>
                <c:pt idx="58">
                  <c:v>50.4585801825</c:v>
                </c:pt>
                <c:pt idx="59">
                  <c:v>51.819299909999998</c:v>
                </c:pt>
                <c:pt idx="60">
                  <c:v>53.804347357499999</c:v>
                </c:pt>
                <c:pt idx="61">
                  <c:v>55.789394805000001</c:v>
                </c:pt>
                <c:pt idx="62">
                  <c:v>57.774442252500002</c:v>
                </c:pt>
                <c:pt idx="63">
                  <c:v>59.759489700000003</c:v>
                </c:pt>
                <c:pt idx="64">
                  <c:v>60.090690360000004</c:v>
                </c:pt>
                <c:pt idx="65">
                  <c:v>60.421891019999997</c:v>
                </c:pt>
                <c:pt idx="66">
                  <c:v>60.753091679999997</c:v>
                </c:pt>
                <c:pt idx="67">
                  <c:v>61.084292339999998</c:v>
                </c:pt>
                <c:pt idx="68">
                  <c:v>65.200365779999998</c:v>
                </c:pt>
                <c:pt idx="69">
                  <c:v>69.316439220000007</c:v>
                </c:pt>
                <c:pt idx="70">
                  <c:v>73.43251266</c:v>
                </c:pt>
                <c:pt idx="71">
                  <c:v>77.548586099999994</c:v>
                </c:pt>
                <c:pt idx="72">
                  <c:v>83.2929405</c:v>
                </c:pt>
                <c:pt idx="73">
                  <c:v>89.037294900000006</c:v>
                </c:pt>
                <c:pt idx="74">
                  <c:v>94.781649299999998</c:v>
                </c:pt>
                <c:pt idx="75">
                  <c:v>100.5260037</c:v>
                </c:pt>
                <c:pt idx="76">
                  <c:v>100.772341875</c:v>
                </c:pt>
                <c:pt idx="77">
                  <c:v>101.01868005</c:v>
                </c:pt>
                <c:pt idx="78">
                  <c:v>101.26501822500001</c:v>
                </c:pt>
                <c:pt idx="79">
                  <c:v>101.5113564</c:v>
                </c:pt>
                <c:pt idx="80">
                  <c:v>101.87355135</c:v>
                </c:pt>
                <c:pt idx="81">
                  <c:v>102.2357463</c:v>
                </c:pt>
                <c:pt idx="82">
                  <c:v>102.59794125000001</c:v>
                </c:pt>
                <c:pt idx="83">
                  <c:v>102.96013619999999</c:v>
                </c:pt>
                <c:pt idx="84">
                  <c:v>114.88569990000001</c:v>
                </c:pt>
                <c:pt idx="85">
                  <c:v>126.8112636</c:v>
                </c:pt>
                <c:pt idx="86">
                  <c:v>138.73682729999999</c:v>
                </c:pt>
                <c:pt idx="87">
                  <c:v>150.66239100000001</c:v>
                </c:pt>
                <c:pt idx="88">
                  <c:v>165.80527305000001</c:v>
                </c:pt>
                <c:pt idx="89">
                  <c:v>180.94815510000001</c:v>
                </c:pt>
                <c:pt idx="90">
                  <c:v>196.09103715000001</c:v>
                </c:pt>
                <c:pt idx="91">
                  <c:v>211.2339192</c:v>
                </c:pt>
                <c:pt idx="92">
                  <c:v>212.29507207500001</c:v>
                </c:pt>
                <c:pt idx="93">
                  <c:v>213.35622495000001</c:v>
                </c:pt>
                <c:pt idx="94">
                  <c:v>214.41737782499999</c:v>
                </c:pt>
                <c:pt idx="95">
                  <c:v>215.47853069999999</c:v>
                </c:pt>
                <c:pt idx="96">
                  <c:v>249.834055275</c:v>
                </c:pt>
                <c:pt idx="97">
                  <c:v>284.18957984999997</c:v>
                </c:pt>
                <c:pt idx="98">
                  <c:v>318.54510442499998</c:v>
                </c:pt>
                <c:pt idx="99">
                  <c:v>352.90062899999998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A2-8F46-90D2-0365AE685D8D}"/>
            </c:ext>
          </c:extLst>
        </c:ser>
        <c:ser>
          <c:idx val="1"/>
          <c:order val="2"/>
          <c:tx>
            <c:strRef>
              <c:f>'Inflow Quantiles - Seasonal'!$A$28</c:f>
              <c:strCache>
                <c:ptCount val="1"/>
                <c:pt idx="0">
                  <c:v>BelowSmithsFork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'Inflow Quantiles - Seasonal'!$B$28:$CW$28</c:f>
              <c:numCache>
                <c:formatCode>0.00</c:formatCode>
                <c:ptCount val="100"/>
                <c:pt idx="0">
                  <c:v>56.001952574999997</c:v>
                </c:pt>
                <c:pt idx="1">
                  <c:v>56.377384050000003</c:v>
                </c:pt>
                <c:pt idx="2">
                  <c:v>56.752815525000003</c:v>
                </c:pt>
                <c:pt idx="3">
                  <c:v>57.128247000000002</c:v>
                </c:pt>
                <c:pt idx="4">
                  <c:v>57.226355925</c:v>
                </c:pt>
                <c:pt idx="5">
                  <c:v>57.324464849999998</c:v>
                </c:pt>
                <c:pt idx="6">
                  <c:v>57.422573774999996</c:v>
                </c:pt>
                <c:pt idx="7">
                  <c:v>57.520682700000002</c:v>
                </c:pt>
                <c:pt idx="8">
                  <c:v>59.791911749999997</c:v>
                </c:pt>
                <c:pt idx="9">
                  <c:v>62.063140799999999</c:v>
                </c:pt>
                <c:pt idx="10">
                  <c:v>64.334369850000002</c:v>
                </c:pt>
                <c:pt idx="11">
                  <c:v>66.605598900000004</c:v>
                </c:pt>
                <c:pt idx="12">
                  <c:v>66.653984100000002</c:v>
                </c:pt>
                <c:pt idx="13">
                  <c:v>66.702369300000001</c:v>
                </c:pt>
                <c:pt idx="14">
                  <c:v>66.750754499999999</c:v>
                </c:pt>
                <c:pt idx="15">
                  <c:v>66.799139699999998</c:v>
                </c:pt>
                <c:pt idx="16">
                  <c:v>67.992360375000004</c:v>
                </c:pt>
                <c:pt idx="17">
                  <c:v>69.185581049999996</c:v>
                </c:pt>
                <c:pt idx="18">
                  <c:v>70.378801725000002</c:v>
                </c:pt>
                <c:pt idx="19">
                  <c:v>71.572022399999994</c:v>
                </c:pt>
                <c:pt idx="20">
                  <c:v>75.728192100000001</c:v>
                </c:pt>
                <c:pt idx="21">
                  <c:v>79.884361799999994</c:v>
                </c:pt>
                <c:pt idx="22">
                  <c:v>84.0405315</c:v>
                </c:pt>
                <c:pt idx="23">
                  <c:v>88.196701200000007</c:v>
                </c:pt>
                <c:pt idx="24">
                  <c:v>89.273817225000002</c:v>
                </c:pt>
                <c:pt idx="25">
                  <c:v>90.350933249999997</c:v>
                </c:pt>
                <c:pt idx="26">
                  <c:v>91.428049275000006</c:v>
                </c:pt>
                <c:pt idx="27">
                  <c:v>92.505165300000002</c:v>
                </c:pt>
                <c:pt idx="28">
                  <c:v>93.572217600000002</c:v>
                </c:pt>
                <c:pt idx="29">
                  <c:v>94.639269900000002</c:v>
                </c:pt>
                <c:pt idx="30">
                  <c:v>95.706322200000002</c:v>
                </c:pt>
                <c:pt idx="31">
                  <c:v>96.773374500000003</c:v>
                </c:pt>
                <c:pt idx="32">
                  <c:v>100.660798125</c:v>
                </c:pt>
                <c:pt idx="33">
                  <c:v>104.54822175</c:v>
                </c:pt>
                <c:pt idx="34">
                  <c:v>108.43564537499999</c:v>
                </c:pt>
                <c:pt idx="35">
                  <c:v>112.323069</c:v>
                </c:pt>
                <c:pt idx="36">
                  <c:v>116.05210049999999</c:v>
                </c:pt>
                <c:pt idx="37">
                  <c:v>119.781132</c:v>
                </c:pt>
                <c:pt idx="38">
                  <c:v>123.5101635</c:v>
                </c:pt>
                <c:pt idx="39">
                  <c:v>127.239195</c:v>
                </c:pt>
                <c:pt idx="40">
                  <c:v>129.50194672500001</c:v>
                </c:pt>
                <c:pt idx="41">
                  <c:v>131.76469845</c:v>
                </c:pt>
                <c:pt idx="42">
                  <c:v>134.02745017500001</c:v>
                </c:pt>
                <c:pt idx="43">
                  <c:v>136.2902019</c:v>
                </c:pt>
                <c:pt idx="44">
                  <c:v>141.16238332500001</c:v>
                </c:pt>
                <c:pt idx="45">
                  <c:v>146.03456474999999</c:v>
                </c:pt>
                <c:pt idx="46">
                  <c:v>150.90674617499999</c:v>
                </c:pt>
                <c:pt idx="47">
                  <c:v>155.7789276</c:v>
                </c:pt>
                <c:pt idx="48">
                  <c:v>158.21791845000001</c:v>
                </c:pt>
                <c:pt idx="49">
                  <c:v>160.6569093</c:v>
                </c:pt>
                <c:pt idx="50">
                  <c:v>163.09590015000001</c:v>
                </c:pt>
                <c:pt idx="51">
                  <c:v>165.53489099999999</c:v>
                </c:pt>
                <c:pt idx="52">
                  <c:v>167.19466199999999</c:v>
                </c:pt>
                <c:pt idx="53">
                  <c:v>168.854433</c:v>
                </c:pt>
                <c:pt idx="54">
                  <c:v>170.51420400000001</c:v>
                </c:pt>
                <c:pt idx="55">
                  <c:v>172.17397500000001</c:v>
                </c:pt>
                <c:pt idx="56">
                  <c:v>172.46993775000001</c:v>
                </c:pt>
                <c:pt idx="57">
                  <c:v>172.76590049999999</c:v>
                </c:pt>
                <c:pt idx="58">
                  <c:v>173.06186324999999</c:v>
                </c:pt>
                <c:pt idx="59">
                  <c:v>173.35782599999999</c:v>
                </c:pt>
                <c:pt idx="60">
                  <c:v>175.22333325</c:v>
                </c:pt>
                <c:pt idx="61">
                  <c:v>177.0888405</c:v>
                </c:pt>
                <c:pt idx="62">
                  <c:v>178.95434775000001</c:v>
                </c:pt>
                <c:pt idx="63">
                  <c:v>180.81985499999999</c:v>
                </c:pt>
                <c:pt idx="64">
                  <c:v>182.19402442500001</c:v>
                </c:pt>
                <c:pt idx="65">
                  <c:v>183.56819385</c:v>
                </c:pt>
                <c:pt idx="66">
                  <c:v>184.94236327499999</c:v>
                </c:pt>
                <c:pt idx="67">
                  <c:v>186.31653270000001</c:v>
                </c:pt>
                <c:pt idx="68">
                  <c:v>190.003970775</c:v>
                </c:pt>
                <c:pt idx="69">
                  <c:v>193.69140884999999</c:v>
                </c:pt>
                <c:pt idx="70">
                  <c:v>197.378846925</c:v>
                </c:pt>
                <c:pt idx="71">
                  <c:v>201.06628499999999</c:v>
                </c:pt>
                <c:pt idx="72">
                  <c:v>209.76873007500001</c:v>
                </c:pt>
                <c:pt idx="73">
                  <c:v>218.47117514999999</c:v>
                </c:pt>
                <c:pt idx="74">
                  <c:v>227.17362022500001</c:v>
                </c:pt>
                <c:pt idx="75">
                  <c:v>235.87606529999999</c:v>
                </c:pt>
                <c:pt idx="76">
                  <c:v>238.10044597500001</c:v>
                </c:pt>
                <c:pt idx="77">
                  <c:v>240.32482665000001</c:v>
                </c:pt>
                <c:pt idx="78">
                  <c:v>242.549207325</c:v>
                </c:pt>
                <c:pt idx="79">
                  <c:v>244.77358799999999</c:v>
                </c:pt>
                <c:pt idx="80">
                  <c:v>254.32718625000001</c:v>
                </c:pt>
                <c:pt idx="81">
                  <c:v>263.8807845</c:v>
                </c:pt>
                <c:pt idx="82">
                  <c:v>273.43438275</c:v>
                </c:pt>
                <c:pt idx="83">
                  <c:v>282.98798099999999</c:v>
                </c:pt>
                <c:pt idx="84">
                  <c:v>305.68341600000002</c:v>
                </c:pt>
                <c:pt idx="85">
                  <c:v>328.378851</c:v>
                </c:pt>
                <c:pt idx="86">
                  <c:v>351.07428599999997</c:v>
                </c:pt>
                <c:pt idx="87">
                  <c:v>373.769721</c:v>
                </c:pt>
                <c:pt idx="88">
                  <c:v>376.50675675000002</c:v>
                </c:pt>
                <c:pt idx="89">
                  <c:v>379.24379249999998</c:v>
                </c:pt>
                <c:pt idx="90">
                  <c:v>381.98082825</c:v>
                </c:pt>
                <c:pt idx="91">
                  <c:v>384.71786400000002</c:v>
                </c:pt>
                <c:pt idx="92">
                  <c:v>406.45253550000001</c:v>
                </c:pt>
                <c:pt idx="93">
                  <c:v>428.187207</c:v>
                </c:pt>
                <c:pt idx="94">
                  <c:v>449.92187849999999</c:v>
                </c:pt>
                <c:pt idx="95">
                  <c:v>471.656550000001</c:v>
                </c:pt>
                <c:pt idx="96">
                  <c:v>516.07277550000003</c:v>
                </c:pt>
                <c:pt idx="97">
                  <c:v>560.48900100000003</c:v>
                </c:pt>
                <c:pt idx="98">
                  <c:v>604.90522650000003</c:v>
                </c:pt>
                <c:pt idx="99">
                  <c:v>649.32145200000002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A2-8F46-90D2-0365AE685D8D}"/>
            </c:ext>
          </c:extLst>
        </c:ser>
        <c:ser>
          <c:idx val="3"/>
          <c:order val="3"/>
          <c:tx>
            <c:strRef>
              <c:f>'Inflow Quantiles - Seasonal'!$A$29</c:f>
              <c:strCache>
                <c:ptCount val="1"/>
                <c:pt idx="0">
                  <c:v>BelowWoodruff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'Inflow Quantiles - Seasonal'!$B$29:$CW$29</c:f>
              <c:numCache>
                <c:formatCode>0.00</c:formatCode>
                <c:ptCount val="100"/>
                <c:pt idx="0">
                  <c:v>35.984375647500002</c:v>
                </c:pt>
                <c:pt idx="1">
                  <c:v>38.880393464999997</c:v>
                </c:pt>
                <c:pt idx="2">
                  <c:v>41.7764112825</c:v>
                </c:pt>
                <c:pt idx="3">
                  <c:v>44.672429100000002</c:v>
                </c:pt>
                <c:pt idx="4">
                  <c:v>46.6679368725</c:v>
                </c:pt>
                <c:pt idx="5">
                  <c:v>48.663444644999998</c:v>
                </c:pt>
                <c:pt idx="6">
                  <c:v>50.658952417499997</c:v>
                </c:pt>
                <c:pt idx="7">
                  <c:v>52.654460190000002</c:v>
                </c:pt>
                <c:pt idx="8">
                  <c:v>53.372886217500003</c:v>
                </c:pt>
                <c:pt idx="9">
                  <c:v>54.091312244999997</c:v>
                </c:pt>
                <c:pt idx="10">
                  <c:v>54.809738272499999</c:v>
                </c:pt>
                <c:pt idx="11">
                  <c:v>55.5281643</c:v>
                </c:pt>
                <c:pt idx="12">
                  <c:v>57.116795175</c:v>
                </c:pt>
                <c:pt idx="13">
                  <c:v>58.70542605</c:v>
                </c:pt>
                <c:pt idx="14">
                  <c:v>60.294056925</c:v>
                </c:pt>
                <c:pt idx="15">
                  <c:v>61.882687799999999</c:v>
                </c:pt>
                <c:pt idx="16">
                  <c:v>64.359058200000007</c:v>
                </c:pt>
                <c:pt idx="17">
                  <c:v>66.8354286</c:v>
                </c:pt>
                <c:pt idx="18">
                  <c:v>69.311798999999993</c:v>
                </c:pt>
                <c:pt idx="19">
                  <c:v>71.788169400000001</c:v>
                </c:pt>
                <c:pt idx="20">
                  <c:v>71.811073050000005</c:v>
                </c:pt>
                <c:pt idx="21">
                  <c:v>71.833976699999994</c:v>
                </c:pt>
                <c:pt idx="22">
                  <c:v>71.856880349999997</c:v>
                </c:pt>
                <c:pt idx="23">
                  <c:v>71.879784000000001</c:v>
                </c:pt>
                <c:pt idx="24">
                  <c:v>74.930084175000005</c:v>
                </c:pt>
                <c:pt idx="25">
                  <c:v>77.980384349999994</c:v>
                </c:pt>
                <c:pt idx="26">
                  <c:v>81.030684524999998</c:v>
                </c:pt>
                <c:pt idx="27">
                  <c:v>84.080984700000002</c:v>
                </c:pt>
                <c:pt idx="28">
                  <c:v>85.712468204999993</c:v>
                </c:pt>
                <c:pt idx="29">
                  <c:v>87.343951709999999</c:v>
                </c:pt>
                <c:pt idx="30">
                  <c:v>88.975435215000005</c:v>
                </c:pt>
                <c:pt idx="31">
                  <c:v>90.606918719999996</c:v>
                </c:pt>
                <c:pt idx="32">
                  <c:v>90.660439890000006</c:v>
                </c:pt>
                <c:pt idx="33">
                  <c:v>90.713961060000003</c:v>
                </c:pt>
                <c:pt idx="34">
                  <c:v>90.767482229999999</c:v>
                </c:pt>
                <c:pt idx="35">
                  <c:v>90.821003399999995</c:v>
                </c:pt>
                <c:pt idx="36">
                  <c:v>91.614867704999995</c:v>
                </c:pt>
                <c:pt idx="37">
                  <c:v>92.408732009999994</c:v>
                </c:pt>
                <c:pt idx="38">
                  <c:v>93.202596314999994</c:v>
                </c:pt>
                <c:pt idx="39">
                  <c:v>93.996460619999993</c:v>
                </c:pt>
                <c:pt idx="40">
                  <c:v>94.072389689999994</c:v>
                </c:pt>
                <c:pt idx="41">
                  <c:v>94.148318759999995</c:v>
                </c:pt>
                <c:pt idx="42">
                  <c:v>94.224247829999996</c:v>
                </c:pt>
                <c:pt idx="43">
                  <c:v>94.300176899999997</c:v>
                </c:pt>
                <c:pt idx="44">
                  <c:v>95.588333700000007</c:v>
                </c:pt>
                <c:pt idx="45">
                  <c:v>96.876490500000003</c:v>
                </c:pt>
                <c:pt idx="46">
                  <c:v>98.164647299999999</c:v>
                </c:pt>
                <c:pt idx="47">
                  <c:v>99.452804099999994</c:v>
                </c:pt>
                <c:pt idx="48">
                  <c:v>100.97802855</c:v>
                </c:pt>
                <c:pt idx="49">
                  <c:v>102.503253</c:v>
                </c:pt>
                <c:pt idx="50">
                  <c:v>104.02847745</c:v>
                </c:pt>
                <c:pt idx="51">
                  <c:v>105.55370189999999</c:v>
                </c:pt>
                <c:pt idx="52">
                  <c:v>106.64122867499999</c:v>
                </c:pt>
                <c:pt idx="53">
                  <c:v>107.72875544999999</c:v>
                </c:pt>
                <c:pt idx="54">
                  <c:v>108.81628222499999</c:v>
                </c:pt>
                <c:pt idx="55">
                  <c:v>109.903809</c:v>
                </c:pt>
                <c:pt idx="56">
                  <c:v>112.178359575</c:v>
                </c:pt>
                <c:pt idx="57">
                  <c:v>114.45291014999999</c:v>
                </c:pt>
                <c:pt idx="58">
                  <c:v>116.727460725</c:v>
                </c:pt>
                <c:pt idx="59">
                  <c:v>119.00201130000001</c:v>
                </c:pt>
                <c:pt idx="60">
                  <c:v>119.276210625</c:v>
                </c:pt>
                <c:pt idx="61">
                  <c:v>119.55040995</c:v>
                </c:pt>
                <c:pt idx="62">
                  <c:v>119.824609275</c:v>
                </c:pt>
                <c:pt idx="63">
                  <c:v>120.0988086</c:v>
                </c:pt>
                <c:pt idx="64">
                  <c:v>122.646021675</c:v>
                </c:pt>
                <c:pt idx="65">
                  <c:v>125.19323475</c:v>
                </c:pt>
                <c:pt idx="66">
                  <c:v>127.740447825</c:v>
                </c:pt>
                <c:pt idx="67">
                  <c:v>130.28766089999999</c:v>
                </c:pt>
                <c:pt idx="68">
                  <c:v>130.40907007499999</c:v>
                </c:pt>
                <c:pt idx="69">
                  <c:v>130.53047925000001</c:v>
                </c:pt>
                <c:pt idx="70">
                  <c:v>130.65188842500001</c:v>
                </c:pt>
                <c:pt idx="71">
                  <c:v>130.77329760000001</c:v>
                </c:pt>
                <c:pt idx="72">
                  <c:v>132.01014427499999</c:v>
                </c:pt>
                <c:pt idx="73">
                  <c:v>133.24699095</c:v>
                </c:pt>
                <c:pt idx="74">
                  <c:v>134.48383762500001</c:v>
                </c:pt>
                <c:pt idx="75">
                  <c:v>135.72068429999999</c:v>
                </c:pt>
                <c:pt idx="76">
                  <c:v>138.44602035</c:v>
                </c:pt>
                <c:pt idx="77">
                  <c:v>141.17135640000001</c:v>
                </c:pt>
                <c:pt idx="78">
                  <c:v>143.89669244999999</c:v>
                </c:pt>
                <c:pt idx="79">
                  <c:v>146.6220285</c:v>
                </c:pt>
                <c:pt idx="80">
                  <c:v>150.413177475</c:v>
                </c:pt>
                <c:pt idx="81">
                  <c:v>154.20432645</c:v>
                </c:pt>
                <c:pt idx="82">
                  <c:v>157.995475425</c:v>
                </c:pt>
                <c:pt idx="83">
                  <c:v>161.78662439999999</c:v>
                </c:pt>
                <c:pt idx="84">
                  <c:v>163.41382462499999</c:v>
                </c:pt>
                <c:pt idx="85">
                  <c:v>165.04102485000001</c:v>
                </c:pt>
                <c:pt idx="86">
                  <c:v>166.66822507500001</c:v>
                </c:pt>
                <c:pt idx="87">
                  <c:v>168.29542530000001</c:v>
                </c:pt>
                <c:pt idx="88">
                  <c:v>170.32413345000001</c:v>
                </c:pt>
                <c:pt idx="89">
                  <c:v>172.3528416</c:v>
                </c:pt>
                <c:pt idx="90">
                  <c:v>174.38154975</c:v>
                </c:pt>
                <c:pt idx="91">
                  <c:v>176.4102579</c:v>
                </c:pt>
                <c:pt idx="92">
                  <c:v>182.74529842499999</c:v>
                </c:pt>
                <c:pt idx="93">
                  <c:v>189.08033895</c:v>
                </c:pt>
                <c:pt idx="94">
                  <c:v>195.41537947500001</c:v>
                </c:pt>
                <c:pt idx="95">
                  <c:v>201.75042000000099</c:v>
                </c:pt>
                <c:pt idx="96">
                  <c:v>238.10386664999999</c:v>
                </c:pt>
                <c:pt idx="97">
                  <c:v>274.45731330000001</c:v>
                </c:pt>
                <c:pt idx="98">
                  <c:v>310.81075994999998</c:v>
                </c:pt>
                <c:pt idx="99">
                  <c:v>347.1642066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A2-8F46-90D2-0365AE685D8D}"/>
            </c:ext>
          </c:extLst>
        </c:ser>
        <c:ser>
          <c:idx val="4"/>
          <c:order val="4"/>
          <c:tx>
            <c:strRef>
              <c:f>'Inflow Quantiles - Seasonal'!$A$30</c:f>
              <c:strCache>
                <c:ptCount val="1"/>
                <c:pt idx="0">
                  <c:v>BSFRIver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val>
            <c:numRef>
              <c:f>'Inflow Quantiles - Seasonal'!$B$30:$CW$30</c:f>
              <c:numCache>
                <c:formatCode>0.00</c:formatCode>
                <c:ptCount val="100"/>
                <c:pt idx="0">
                  <c:v>21.324269820000001</c:v>
                </c:pt>
                <c:pt idx="1">
                  <c:v>22.027917540000001</c:v>
                </c:pt>
                <c:pt idx="2">
                  <c:v>22.73156526</c:v>
                </c:pt>
                <c:pt idx="3">
                  <c:v>23.435212979999999</c:v>
                </c:pt>
                <c:pt idx="4">
                  <c:v>23.60713908</c:v>
                </c:pt>
                <c:pt idx="5">
                  <c:v>23.672720856000002</c:v>
                </c:pt>
                <c:pt idx="6">
                  <c:v>23.738302632</c:v>
                </c:pt>
                <c:pt idx="7">
                  <c:v>23.803884407999998</c:v>
                </c:pt>
                <c:pt idx="8">
                  <c:v>24.046222872000001</c:v>
                </c:pt>
                <c:pt idx="9">
                  <c:v>24.37693968</c:v>
                </c:pt>
                <c:pt idx="10">
                  <c:v>24.707656488000001</c:v>
                </c:pt>
                <c:pt idx="11">
                  <c:v>25.038373296</c:v>
                </c:pt>
                <c:pt idx="12">
                  <c:v>25.220365103999999</c:v>
                </c:pt>
                <c:pt idx="13">
                  <c:v>25.253631911999999</c:v>
                </c:pt>
                <c:pt idx="14">
                  <c:v>25.28689872</c:v>
                </c:pt>
                <c:pt idx="15">
                  <c:v>25.320165528</c:v>
                </c:pt>
                <c:pt idx="16">
                  <c:v>25.429325712000001</c:v>
                </c:pt>
                <c:pt idx="17">
                  <c:v>25.690272648000001</c:v>
                </c:pt>
                <c:pt idx="18">
                  <c:v>25.951219584</c:v>
                </c:pt>
                <c:pt idx="19">
                  <c:v>26.21216652</c:v>
                </c:pt>
                <c:pt idx="20">
                  <c:v>26.445399047999999</c:v>
                </c:pt>
                <c:pt idx="21">
                  <c:v>26.540059536000001</c:v>
                </c:pt>
                <c:pt idx="22">
                  <c:v>26.634720024</c:v>
                </c:pt>
                <c:pt idx="23">
                  <c:v>26.729380511999999</c:v>
                </c:pt>
                <c:pt idx="24">
                  <c:v>26.824041000000001</c:v>
                </c:pt>
                <c:pt idx="25">
                  <c:v>27.162324936000001</c:v>
                </c:pt>
                <c:pt idx="26">
                  <c:v>27.500608872000001</c:v>
                </c:pt>
                <c:pt idx="27">
                  <c:v>27.838892808000001</c:v>
                </c:pt>
                <c:pt idx="28">
                  <c:v>28.177176744</c:v>
                </c:pt>
                <c:pt idx="29">
                  <c:v>28.237126799999999</c:v>
                </c:pt>
                <c:pt idx="30">
                  <c:v>28.241410080000001</c:v>
                </c:pt>
                <c:pt idx="31">
                  <c:v>28.245693360000001</c:v>
                </c:pt>
                <c:pt idx="32">
                  <c:v>28.24997664</c:v>
                </c:pt>
                <c:pt idx="33">
                  <c:v>28.75334136</c:v>
                </c:pt>
                <c:pt idx="34">
                  <c:v>29.5062468</c:v>
                </c:pt>
                <c:pt idx="35">
                  <c:v>30.259152239999999</c:v>
                </c:pt>
                <c:pt idx="36">
                  <c:v>31.012057680000002</c:v>
                </c:pt>
                <c:pt idx="37">
                  <c:v>31.835280300000001</c:v>
                </c:pt>
                <c:pt idx="38">
                  <c:v>32.7288201</c:v>
                </c:pt>
                <c:pt idx="39">
                  <c:v>33.622359899999999</c:v>
                </c:pt>
                <c:pt idx="40">
                  <c:v>34.515899699999999</c:v>
                </c:pt>
                <c:pt idx="41">
                  <c:v>35.161992828000002</c:v>
                </c:pt>
                <c:pt idx="42">
                  <c:v>35.313192612000002</c:v>
                </c:pt>
                <c:pt idx="43">
                  <c:v>35.464392396000001</c:v>
                </c:pt>
                <c:pt idx="44">
                  <c:v>35.61559218</c:v>
                </c:pt>
                <c:pt idx="45">
                  <c:v>35.842161828000002</c:v>
                </c:pt>
                <c:pt idx="46">
                  <c:v>36.445580796000002</c:v>
                </c:pt>
                <c:pt idx="47">
                  <c:v>37.048999764000001</c:v>
                </c:pt>
                <c:pt idx="48">
                  <c:v>37.652418732000001</c:v>
                </c:pt>
                <c:pt idx="49">
                  <c:v>38.255837700000001</c:v>
                </c:pt>
                <c:pt idx="50">
                  <c:v>38.375579172000002</c:v>
                </c:pt>
                <c:pt idx="51">
                  <c:v>38.495320644000003</c:v>
                </c:pt>
                <c:pt idx="52">
                  <c:v>38.615062115999997</c:v>
                </c:pt>
                <c:pt idx="53">
                  <c:v>38.734803587999998</c:v>
                </c:pt>
                <c:pt idx="54">
                  <c:v>39.2009355</c:v>
                </c:pt>
                <c:pt idx="55">
                  <c:v>39.736345499999999</c:v>
                </c:pt>
                <c:pt idx="56">
                  <c:v>40.271755499999998</c:v>
                </c:pt>
                <c:pt idx="57">
                  <c:v>40.807165500000004</c:v>
                </c:pt>
                <c:pt idx="58">
                  <c:v>41.120796779999999</c:v>
                </c:pt>
                <c:pt idx="59">
                  <c:v>41.3235387</c:v>
                </c:pt>
                <c:pt idx="60">
                  <c:v>41.526280620000001</c:v>
                </c:pt>
                <c:pt idx="61">
                  <c:v>41.729022540000003</c:v>
                </c:pt>
                <c:pt idx="62">
                  <c:v>42.066925740000002</c:v>
                </c:pt>
                <c:pt idx="63">
                  <c:v>42.53999022</c:v>
                </c:pt>
                <c:pt idx="64">
                  <c:v>43.013054699999998</c:v>
                </c:pt>
                <c:pt idx="65">
                  <c:v>43.486119180000003</c:v>
                </c:pt>
                <c:pt idx="66">
                  <c:v>44.539663284</c:v>
                </c:pt>
                <c:pt idx="67">
                  <c:v>46.754166636000001</c:v>
                </c:pt>
                <c:pt idx="68">
                  <c:v>48.968669988000002</c:v>
                </c:pt>
                <c:pt idx="69">
                  <c:v>51.183173340000003</c:v>
                </c:pt>
                <c:pt idx="70">
                  <c:v>53.332951571999999</c:v>
                </c:pt>
                <c:pt idx="71">
                  <c:v>55.159104204000002</c:v>
                </c:pt>
                <c:pt idx="72">
                  <c:v>56.985256835999998</c:v>
                </c:pt>
                <c:pt idx="73">
                  <c:v>58.811409468000001</c:v>
                </c:pt>
                <c:pt idx="74">
                  <c:v>60.637562099999997</c:v>
                </c:pt>
                <c:pt idx="75">
                  <c:v>61.873193196000003</c:v>
                </c:pt>
                <c:pt idx="76">
                  <c:v>63.108824292000001</c:v>
                </c:pt>
                <c:pt idx="77">
                  <c:v>64.344455388</c:v>
                </c:pt>
                <c:pt idx="78">
                  <c:v>65.580086484000006</c:v>
                </c:pt>
                <c:pt idx="79">
                  <c:v>66.176715659999999</c:v>
                </c:pt>
                <c:pt idx="80">
                  <c:v>66.645544451999996</c:v>
                </c:pt>
                <c:pt idx="81">
                  <c:v>67.114373244000006</c:v>
                </c:pt>
                <c:pt idx="82">
                  <c:v>67.583202036000003</c:v>
                </c:pt>
                <c:pt idx="83">
                  <c:v>69.245574731999994</c:v>
                </c:pt>
                <c:pt idx="84">
                  <c:v>71.504719379999997</c:v>
                </c:pt>
                <c:pt idx="85">
                  <c:v>73.763864028</c:v>
                </c:pt>
                <c:pt idx="86">
                  <c:v>76.023008676000003</c:v>
                </c:pt>
                <c:pt idx="87">
                  <c:v>79.026777756000001</c:v>
                </c:pt>
                <c:pt idx="88">
                  <c:v>82.775171267999994</c:v>
                </c:pt>
                <c:pt idx="89">
                  <c:v>86.523564780000001</c:v>
                </c:pt>
                <c:pt idx="90">
                  <c:v>90.271958291999994</c:v>
                </c:pt>
                <c:pt idx="91">
                  <c:v>93.707006075999999</c:v>
                </c:pt>
                <c:pt idx="92">
                  <c:v>96.515362404000001</c:v>
                </c:pt>
                <c:pt idx="93">
                  <c:v>99.323718732000003</c:v>
                </c:pt>
                <c:pt idx="94">
                  <c:v>102.13207506000001</c:v>
                </c:pt>
                <c:pt idx="95">
                  <c:v>106.0115766</c:v>
                </c:pt>
                <c:pt idx="96">
                  <c:v>115.2468042</c:v>
                </c:pt>
                <c:pt idx="97">
                  <c:v>124.4820318</c:v>
                </c:pt>
                <c:pt idx="98">
                  <c:v>133.71725939999999</c:v>
                </c:pt>
                <c:pt idx="99">
                  <c:v>142.95248699999999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A2-8F46-90D2-0365AE685D8D}"/>
            </c:ext>
          </c:extLst>
        </c:ser>
        <c:ser>
          <c:idx val="5"/>
          <c:order val="5"/>
          <c:tx>
            <c:strRef>
              <c:f>'Inflow Quantiles - Seasonal'!$A$31</c:f>
              <c:strCache>
                <c:ptCount val="1"/>
                <c:pt idx="0">
                  <c:v>Corrine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'Inflow Quantiles - Seasonal'!$B$31:$CW$31</c:f>
              <c:numCache>
                <c:formatCode>0.00</c:formatCode>
                <c:ptCount val="100"/>
                <c:pt idx="0">
                  <c:v>100.1956359</c:v>
                </c:pt>
                <c:pt idx="1">
                  <c:v>101.0031135</c:v>
                </c:pt>
                <c:pt idx="2">
                  <c:v>101.8105911</c:v>
                </c:pt>
                <c:pt idx="3">
                  <c:v>102.61806869999999</c:v>
                </c:pt>
                <c:pt idx="4">
                  <c:v>110.31438915</c:v>
                </c:pt>
                <c:pt idx="5">
                  <c:v>118.0107096</c:v>
                </c:pt>
                <c:pt idx="6">
                  <c:v>125.70703005</c:v>
                </c:pt>
                <c:pt idx="7">
                  <c:v>133.40335049999999</c:v>
                </c:pt>
                <c:pt idx="8">
                  <c:v>134.33759137499999</c:v>
                </c:pt>
                <c:pt idx="9">
                  <c:v>135.27183224999999</c:v>
                </c:pt>
                <c:pt idx="10">
                  <c:v>136.20607312499999</c:v>
                </c:pt>
                <c:pt idx="11">
                  <c:v>137.14031399999999</c:v>
                </c:pt>
                <c:pt idx="12">
                  <c:v>137.57746635000001</c:v>
                </c:pt>
                <c:pt idx="13">
                  <c:v>138.0146187</c:v>
                </c:pt>
                <c:pt idx="14">
                  <c:v>138.45177104999999</c:v>
                </c:pt>
                <c:pt idx="15">
                  <c:v>138.88892340000001</c:v>
                </c:pt>
                <c:pt idx="16">
                  <c:v>145.32286604999999</c:v>
                </c:pt>
                <c:pt idx="17">
                  <c:v>151.75680869999999</c:v>
                </c:pt>
                <c:pt idx="18">
                  <c:v>158.19075135</c:v>
                </c:pt>
                <c:pt idx="19">
                  <c:v>164.62469400000001</c:v>
                </c:pt>
                <c:pt idx="20">
                  <c:v>166.52133434999999</c:v>
                </c:pt>
                <c:pt idx="21">
                  <c:v>168.4179747</c:v>
                </c:pt>
                <c:pt idx="22">
                  <c:v>170.31461504999999</c:v>
                </c:pt>
                <c:pt idx="23">
                  <c:v>172.2112554</c:v>
                </c:pt>
                <c:pt idx="24">
                  <c:v>172.62104235000001</c:v>
                </c:pt>
                <c:pt idx="25">
                  <c:v>173.03082929999999</c:v>
                </c:pt>
                <c:pt idx="26">
                  <c:v>173.44061625000001</c:v>
                </c:pt>
                <c:pt idx="27">
                  <c:v>173.85040319999999</c:v>
                </c:pt>
                <c:pt idx="28">
                  <c:v>177.75869789999999</c:v>
                </c:pt>
                <c:pt idx="29">
                  <c:v>181.66699259999999</c:v>
                </c:pt>
                <c:pt idx="30">
                  <c:v>185.57528730000001</c:v>
                </c:pt>
                <c:pt idx="31">
                  <c:v>189.48358200000001</c:v>
                </c:pt>
                <c:pt idx="32">
                  <c:v>193.6924995</c:v>
                </c:pt>
                <c:pt idx="33">
                  <c:v>197.90141700000001</c:v>
                </c:pt>
                <c:pt idx="34">
                  <c:v>202.11033449999999</c:v>
                </c:pt>
                <c:pt idx="35">
                  <c:v>206.31925200000001</c:v>
                </c:pt>
                <c:pt idx="36">
                  <c:v>212.42094299999999</c:v>
                </c:pt>
                <c:pt idx="37">
                  <c:v>218.52263400000001</c:v>
                </c:pt>
                <c:pt idx="38">
                  <c:v>224.624325</c:v>
                </c:pt>
                <c:pt idx="39">
                  <c:v>230.72601599999999</c:v>
                </c:pt>
                <c:pt idx="40">
                  <c:v>232.06444185000001</c:v>
                </c:pt>
                <c:pt idx="41">
                  <c:v>233.4028677</c:v>
                </c:pt>
                <c:pt idx="42">
                  <c:v>234.74129354999999</c:v>
                </c:pt>
                <c:pt idx="43">
                  <c:v>236.07971939999999</c:v>
                </c:pt>
                <c:pt idx="44">
                  <c:v>242.07973207500001</c:v>
                </c:pt>
                <c:pt idx="45">
                  <c:v>248.07974475</c:v>
                </c:pt>
                <c:pt idx="46">
                  <c:v>254.079757425</c:v>
                </c:pt>
                <c:pt idx="47">
                  <c:v>260.07977010000002</c:v>
                </c:pt>
                <c:pt idx="48">
                  <c:v>264.03892875000003</c:v>
                </c:pt>
                <c:pt idx="49">
                  <c:v>267.99808739999997</c:v>
                </c:pt>
                <c:pt idx="50">
                  <c:v>271.95724604999998</c:v>
                </c:pt>
                <c:pt idx="51">
                  <c:v>275.91640469999999</c:v>
                </c:pt>
                <c:pt idx="52">
                  <c:v>277.71850552500001</c:v>
                </c:pt>
                <c:pt idx="53">
                  <c:v>279.52060634999998</c:v>
                </c:pt>
                <c:pt idx="54">
                  <c:v>281.32270717500001</c:v>
                </c:pt>
                <c:pt idx="55">
                  <c:v>283.12480799999997</c:v>
                </c:pt>
                <c:pt idx="56">
                  <c:v>291.12323850000001</c:v>
                </c:pt>
                <c:pt idx="57">
                  <c:v>299.121669</c:v>
                </c:pt>
                <c:pt idx="58">
                  <c:v>307.12009949999998</c:v>
                </c:pt>
                <c:pt idx="59">
                  <c:v>315.11853000000002</c:v>
                </c:pt>
                <c:pt idx="60">
                  <c:v>328.09562902499999</c:v>
                </c:pt>
                <c:pt idx="61">
                  <c:v>341.07272805000002</c:v>
                </c:pt>
                <c:pt idx="62">
                  <c:v>354.049827075</c:v>
                </c:pt>
                <c:pt idx="63">
                  <c:v>367.02692610000003</c:v>
                </c:pt>
                <c:pt idx="64">
                  <c:v>405.88296832499998</c:v>
                </c:pt>
                <c:pt idx="65">
                  <c:v>444.73901054999999</c:v>
                </c:pt>
                <c:pt idx="66">
                  <c:v>483.595052775</c:v>
                </c:pt>
                <c:pt idx="67">
                  <c:v>522.45109500000001</c:v>
                </c:pt>
                <c:pt idx="68">
                  <c:v>525.31905832500001</c:v>
                </c:pt>
                <c:pt idx="69">
                  <c:v>528.18702165000002</c:v>
                </c:pt>
                <c:pt idx="70">
                  <c:v>531.05498497500002</c:v>
                </c:pt>
                <c:pt idx="71">
                  <c:v>533.92294830000003</c:v>
                </c:pt>
                <c:pt idx="72">
                  <c:v>539.10844372500003</c:v>
                </c:pt>
                <c:pt idx="73">
                  <c:v>544.29393915000003</c:v>
                </c:pt>
                <c:pt idx="74">
                  <c:v>549.47943457500003</c:v>
                </c:pt>
                <c:pt idx="75">
                  <c:v>554.66493000000003</c:v>
                </c:pt>
                <c:pt idx="76">
                  <c:v>580.64917049999997</c:v>
                </c:pt>
                <c:pt idx="77">
                  <c:v>606.63341100000002</c:v>
                </c:pt>
                <c:pt idx="78">
                  <c:v>632.61765149999997</c:v>
                </c:pt>
                <c:pt idx="79">
                  <c:v>658.60189200000002</c:v>
                </c:pt>
                <c:pt idx="80">
                  <c:v>689.37160725000001</c:v>
                </c:pt>
                <c:pt idx="81">
                  <c:v>720.1413225</c:v>
                </c:pt>
                <c:pt idx="82">
                  <c:v>750.91103774999999</c:v>
                </c:pt>
                <c:pt idx="83">
                  <c:v>781.680753000001</c:v>
                </c:pt>
                <c:pt idx="84">
                  <c:v>814.56930375000002</c:v>
                </c:pt>
                <c:pt idx="85">
                  <c:v>847.45785450000005</c:v>
                </c:pt>
                <c:pt idx="86">
                  <c:v>880.34640524999998</c:v>
                </c:pt>
                <c:pt idx="87">
                  <c:v>913.23495600000001</c:v>
                </c:pt>
                <c:pt idx="88">
                  <c:v>915.28042049999999</c:v>
                </c:pt>
                <c:pt idx="89">
                  <c:v>917.32588499999997</c:v>
                </c:pt>
                <c:pt idx="90">
                  <c:v>919.37134949999995</c:v>
                </c:pt>
                <c:pt idx="91">
                  <c:v>921.41681400000004</c:v>
                </c:pt>
                <c:pt idx="92">
                  <c:v>927.77976524999997</c:v>
                </c:pt>
                <c:pt idx="93">
                  <c:v>934.14271650000001</c:v>
                </c:pt>
                <c:pt idx="94">
                  <c:v>940.50566775000004</c:v>
                </c:pt>
                <c:pt idx="95">
                  <c:v>946.86861900000099</c:v>
                </c:pt>
                <c:pt idx="96">
                  <c:v>1010.24579475</c:v>
                </c:pt>
                <c:pt idx="97">
                  <c:v>1073.6229705000001</c:v>
                </c:pt>
                <c:pt idx="98">
                  <c:v>1137.0001462499999</c:v>
                </c:pt>
                <c:pt idx="99">
                  <c:v>1200.377322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A2-8F46-90D2-0365AE685D8D}"/>
            </c:ext>
          </c:extLst>
        </c:ser>
        <c:ser>
          <c:idx val="6"/>
          <c:order val="6"/>
          <c:tx>
            <c:strRef>
              <c:f>'Inflow Quantiles - Seasonal'!$A$32</c:f>
              <c:strCache>
                <c:ptCount val="1"/>
                <c:pt idx="0">
                  <c:v>Evanston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Seasonal'!$B$32:$CW$32</c:f>
              <c:numCache>
                <c:formatCode>0.00</c:formatCode>
                <c:ptCount val="100"/>
                <c:pt idx="0">
                  <c:v>49.900112849999999</c:v>
                </c:pt>
                <c:pt idx="1">
                  <c:v>50.140551600000002</c:v>
                </c:pt>
                <c:pt idx="2">
                  <c:v>50.380990349999998</c:v>
                </c:pt>
                <c:pt idx="3">
                  <c:v>50.6214291</c:v>
                </c:pt>
                <c:pt idx="4">
                  <c:v>51.026109824999999</c:v>
                </c:pt>
                <c:pt idx="5">
                  <c:v>51.430790549999998</c:v>
                </c:pt>
                <c:pt idx="6">
                  <c:v>51.835471275000003</c:v>
                </c:pt>
                <c:pt idx="7">
                  <c:v>52.240152000000002</c:v>
                </c:pt>
                <c:pt idx="8">
                  <c:v>55.274241150000002</c:v>
                </c:pt>
                <c:pt idx="9">
                  <c:v>58.308330300000002</c:v>
                </c:pt>
                <c:pt idx="10">
                  <c:v>61.342419450000001</c:v>
                </c:pt>
                <c:pt idx="11">
                  <c:v>64.376508599999994</c:v>
                </c:pt>
                <c:pt idx="12">
                  <c:v>65.272229699999997</c:v>
                </c:pt>
                <c:pt idx="13">
                  <c:v>66.1679508</c:v>
                </c:pt>
                <c:pt idx="14">
                  <c:v>67.063671900000003</c:v>
                </c:pt>
                <c:pt idx="15">
                  <c:v>67.959393000000006</c:v>
                </c:pt>
                <c:pt idx="16">
                  <c:v>68.393174250000001</c:v>
                </c:pt>
                <c:pt idx="17">
                  <c:v>68.826955499999997</c:v>
                </c:pt>
                <c:pt idx="18">
                  <c:v>69.260736750000007</c:v>
                </c:pt>
                <c:pt idx="19">
                  <c:v>69.694518000000002</c:v>
                </c:pt>
                <c:pt idx="20">
                  <c:v>71.029820624999999</c:v>
                </c:pt>
                <c:pt idx="21">
                  <c:v>72.365123249999996</c:v>
                </c:pt>
                <c:pt idx="22">
                  <c:v>73.700425874999993</c:v>
                </c:pt>
                <c:pt idx="23">
                  <c:v>75.035728500000005</c:v>
                </c:pt>
                <c:pt idx="24">
                  <c:v>75.085204349999998</c:v>
                </c:pt>
                <c:pt idx="25">
                  <c:v>75.134680200000005</c:v>
                </c:pt>
                <c:pt idx="26">
                  <c:v>75.184156049999999</c:v>
                </c:pt>
                <c:pt idx="27">
                  <c:v>75.233631900000006</c:v>
                </c:pt>
                <c:pt idx="28">
                  <c:v>75.570543599999993</c:v>
                </c:pt>
                <c:pt idx="29">
                  <c:v>75.907455299999995</c:v>
                </c:pt>
                <c:pt idx="30">
                  <c:v>76.244366999999997</c:v>
                </c:pt>
                <c:pt idx="31">
                  <c:v>76.581278699999999</c:v>
                </c:pt>
                <c:pt idx="32">
                  <c:v>78.223252274999993</c:v>
                </c:pt>
                <c:pt idx="33">
                  <c:v>79.865225850000002</c:v>
                </c:pt>
                <c:pt idx="34">
                  <c:v>81.507199424999996</c:v>
                </c:pt>
                <c:pt idx="35">
                  <c:v>83.149173000000005</c:v>
                </c:pt>
                <c:pt idx="36">
                  <c:v>83.802670649999996</c:v>
                </c:pt>
                <c:pt idx="37">
                  <c:v>84.456168300000002</c:v>
                </c:pt>
                <c:pt idx="38">
                  <c:v>85.109665949999993</c:v>
                </c:pt>
                <c:pt idx="39">
                  <c:v>85.763163599999999</c:v>
                </c:pt>
                <c:pt idx="40">
                  <c:v>88.425539400000005</c:v>
                </c:pt>
                <c:pt idx="41">
                  <c:v>91.087915199999998</c:v>
                </c:pt>
                <c:pt idx="42">
                  <c:v>93.750291000000004</c:v>
                </c:pt>
                <c:pt idx="43">
                  <c:v>96.412666799999997</c:v>
                </c:pt>
                <c:pt idx="44">
                  <c:v>97.487353650000003</c:v>
                </c:pt>
                <c:pt idx="45">
                  <c:v>98.562040499999995</c:v>
                </c:pt>
                <c:pt idx="46">
                  <c:v>99.636727350000001</c:v>
                </c:pt>
                <c:pt idx="47">
                  <c:v>100.71141419999999</c:v>
                </c:pt>
                <c:pt idx="48">
                  <c:v>105.6750615</c:v>
                </c:pt>
                <c:pt idx="49">
                  <c:v>110.6387088</c:v>
                </c:pt>
                <c:pt idx="50">
                  <c:v>115.60235609999999</c:v>
                </c:pt>
                <c:pt idx="51">
                  <c:v>120.5660034</c:v>
                </c:pt>
                <c:pt idx="52">
                  <c:v>120.725089575</c:v>
                </c:pt>
                <c:pt idx="53">
                  <c:v>120.88417575</c:v>
                </c:pt>
                <c:pt idx="54">
                  <c:v>121.043261925</c:v>
                </c:pt>
                <c:pt idx="55">
                  <c:v>121.20234809999999</c:v>
                </c:pt>
                <c:pt idx="56">
                  <c:v>123.81004267500001</c:v>
                </c:pt>
                <c:pt idx="57">
                  <c:v>126.41773725</c:v>
                </c:pt>
                <c:pt idx="58">
                  <c:v>129.025431825</c:v>
                </c:pt>
                <c:pt idx="59">
                  <c:v>131.63312640000001</c:v>
                </c:pt>
                <c:pt idx="60">
                  <c:v>135.30613815000001</c:v>
                </c:pt>
                <c:pt idx="61">
                  <c:v>138.97914990000001</c:v>
                </c:pt>
                <c:pt idx="62">
                  <c:v>142.65216165000001</c:v>
                </c:pt>
                <c:pt idx="63">
                  <c:v>146.32517340000001</c:v>
                </c:pt>
                <c:pt idx="64">
                  <c:v>146.54707110000001</c:v>
                </c:pt>
                <c:pt idx="65">
                  <c:v>146.76896880000001</c:v>
                </c:pt>
                <c:pt idx="66">
                  <c:v>146.99086650000001</c:v>
                </c:pt>
                <c:pt idx="67">
                  <c:v>147.21276420000001</c:v>
                </c:pt>
                <c:pt idx="68">
                  <c:v>149.135332275</c:v>
                </c:pt>
                <c:pt idx="69">
                  <c:v>151.05790035000001</c:v>
                </c:pt>
                <c:pt idx="70">
                  <c:v>152.980468425</c:v>
                </c:pt>
                <c:pt idx="71">
                  <c:v>154.90303650000001</c:v>
                </c:pt>
                <c:pt idx="72">
                  <c:v>157.00174455000001</c:v>
                </c:pt>
                <c:pt idx="73">
                  <c:v>159.10045260000001</c:v>
                </c:pt>
                <c:pt idx="74">
                  <c:v>161.19916065000001</c:v>
                </c:pt>
                <c:pt idx="75">
                  <c:v>163.29786870000001</c:v>
                </c:pt>
                <c:pt idx="76">
                  <c:v>164.14837739999999</c:v>
                </c:pt>
                <c:pt idx="77">
                  <c:v>164.99888609999999</c:v>
                </c:pt>
                <c:pt idx="78">
                  <c:v>165.8493948</c:v>
                </c:pt>
                <c:pt idx="79">
                  <c:v>166.6999035</c:v>
                </c:pt>
                <c:pt idx="80">
                  <c:v>166.82076735000001</c:v>
                </c:pt>
                <c:pt idx="81">
                  <c:v>166.94163119999999</c:v>
                </c:pt>
                <c:pt idx="82">
                  <c:v>167.06249505</c:v>
                </c:pt>
                <c:pt idx="83">
                  <c:v>167.1833589</c:v>
                </c:pt>
                <c:pt idx="84">
                  <c:v>170.49184567500001</c:v>
                </c:pt>
                <c:pt idx="85">
                  <c:v>173.80033245000001</c:v>
                </c:pt>
                <c:pt idx="86">
                  <c:v>177.10881922499999</c:v>
                </c:pt>
                <c:pt idx="87">
                  <c:v>180.417306</c:v>
                </c:pt>
                <c:pt idx="88">
                  <c:v>180.74792167499999</c:v>
                </c:pt>
                <c:pt idx="89">
                  <c:v>181.07853735</c:v>
                </c:pt>
                <c:pt idx="90">
                  <c:v>181.40915302499999</c:v>
                </c:pt>
                <c:pt idx="91">
                  <c:v>181.73976870000001</c:v>
                </c:pt>
                <c:pt idx="92">
                  <c:v>185.019006225</c:v>
                </c:pt>
                <c:pt idx="93">
                  <c:v>188.29824375000001</c:v>
                </c:pt>
                <c:pt idx="94">
                  <c:v>191.577481275</c:v>
                </c:pt>
                <c:pt idx="95">
                  <c:v>194.85671880000001</c:v>
                </c:pt>
                <c:pt idx="96">
                  <c:v>228.14434829999999</c:v>
                </c:pt>
                <c:pt idx="97">
                  <c:v>261.43197780000003</c:v>
                </c:pt>
                <c:pt idx="98">
                  <c:v>294.71960730000001</c:v>
                </c:pt>
                <c:pt idx="99">
                  <c:v>328.00723679999999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A2-8F46-90D2-0365AE685D8D}"/>
            </c:ext>
          </c:extLst>
        </c:ser>
        <c:ser>
          <c:idx val="7"/>
          <c:order val="7"/>
          <c:tx>
            <c:strRef>
              <c:f>'Inflow Quantiles - Seasonal'!$A$33</c:f>
              <c:strCache>
                <c:ptCount val="1"/>
                <c:pt idx="0">
                  <c:v>ID-UT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Seasonal'!$B$33:$CW$33</c:f>
              <c:numCache>
                <c:formatCode>0.00</c:formatCode>
                <c:ptCount val="100"/>
                <c:pt idx="0">
                  <c:v>144.79340504999999</c:v>
                </c:pt>
                <c:pt idx="1">
                  <c:v>154.60677630000001</c:v>
                </c:pt>
                <c:pt idx="2">
                  <c:v>164.42014755</c:v>
                </c:pt>
                <c:pt idx="3">
                  <c:v>174.23351880000001</c:v>
                </c:pt>
                <c:pt idx="4">
                  <c:v>181.8524031</c:v>
                </c:pt>
                <c:pt idx="5">
                  <c:v>189.47128739999999</c:v>
                </c:pt>
                <c:pt idx="6">
                  <c:v>197.09017170000001</c:v>
                </c:pt>
                <c:pt idx="7">
                  <c:v>204.709056</c:v>
                </c:pt>
                <c:pt idx="8">
                  <c:v>207.29934975</c:v>
                </c:pt>
                <c:pt idx="9">
                  <c:v>209.88964350000001</c:v>
                </c:pt>
                <c:pt idx="10">
                  <c:v>212.47993725000001</c:v>
                </c:pt>
                <c:pt idx="11">
                  <c:v>215.07023100000001</c:v>
                </c:pt>
                <c:pt idx="12">
                  <c:v>215.10344624999999</c:v>
                </c:pt>
                <c:pt idx="13">
                  <c:v>215.1366615</c:v>
                </c:pt>
                <c:pt idx="14">
                  <c:v>215.16987674999999</c:v>
                </c:pt>
                <c:pt idx="15">
                  <c:v>215.203092</c:v>
                </c:pt>
                <c:pt idx="16">
                  <c:v>215.37313424999999</c:v>
                </c:pt>
                <c:pt idx="17">
                  <c:v>215.54317649999999</c:v>
                </c:pt>
                <c:pt idx="18">
                  <c:v>215.71321875000001</c:v>
                </c:pt>
                <c:pt idx="19">
                  <c:v>215.883261</c:v>
                </c:pt>
                <c:pt idx="20">
                  <c:v>216.24763725</c:v>
                </c:pt>
                <c:pt idx="21">
                  <c:v>216.61201349999999</c:v>
                </c:pt>
                <c:pt idx="22">
                  <c:v>216.97638975000001</c:v>
                </c:pt>
                <c:pt idx="23">
                  <c:v>217.340766</c:v>
                </c:pt>
                <c:pt idx="24">
                  <c:v>219.25188224999999</c:v>
                </c:pt>
                <c:pt idx="25">
                  <c:v>221.16299849999999</c:v>
                </c:pt>
                <c:pt idx="26">
                  <c:v>223.07411475000001</c:v>
                </c:pt>
                <c:pt idx="27">
                  <c:v>224.985231</c:v>
                </c:pt>
                <c:pt idx="28">
                  <c:v>225.01051425</c:v>
                </c:pt>
                <c:pt idx="29">
                  <c:v>225.0357975</c:v>
                </c:pt>
                <c:pt idx="30">
                  <c:v>225.06108075</c:v>
                </c:pt>
                <c:pt idx="31">
                  <c:v>225.086364</c:v>
                </c:pt>
                <c:pt idx="32">
                  <c:v>226.51362825000001</c:v>
                </c:pt>
                <c:pt idx="33">
                  <c:v>227.94089249999999</c:v>
                </c:pt>
                <c:pt idx="34">
                  <c:v>229.36815675</c:v>
                </c:pt>
                <c:pt idx="35">
                  <c:v>230.795421</c:v>
                </c:pt>
                <c:pt idx="36">
                  <c:v>232.63019174999999</c:v>
                </c:pt>
                <c:pt idx="37">
                  <c:v>234.46496250000001</c:v>
                </c:pt>
                <c:pt idx="38">
                  <c:v>236.29973325</c:v>
                </c:pt>
                <c:pt idx="39">
                  <c:v>238.13450399999999</c:v>
                </c:pt>
                <c:pt idx="40">
                  <c:v>239.34562124999999</c:v>
                </c:pt>
                <c:pt idx="41">
                  <c:v>240.55673849999999</c:v>
                </c:pt>
                <c:pt idx="42">
                  <c:v>241.76785575</c:v>
                </c:pt>
                <c:pt idx="43">
                  <c:v>242.978973</c:v>
                </c:pt>
                <c:pt idx="44">
                  <c:v>246.50127674999999</c:v>
                </c:pt>
                <c:pt idx="45">
                  <c:v>250.02358050000001</c:v>
                </c:pt>
                <c:pt idx="46">
                  <c:v>253.54588425</c:v>
                </c:pt>
                <c:pt idx="47">
                  <c:v>257.06818800000002</c:v>
                </c:pt>
                <c:pt idx="48">
                  <c:v>257.41769175000002</c:v>
                </c:pt>
                <c:pt idx="49">
                  <c:v>257.76719550000001</c:v>
                </c:pt>
                <c:pt idx="50">
                  <c:v>258.11669925000001</c:v>
                </c:pt>
                <c:pt idx="51">
                  <c:v>258.46620300000001</c:v>
                </c:pt>
                <c:pt idx="52">
                  <c:v>265.712085</c:v>
                </c:pt>
                <c:pt idx="53">
                  <c:v>272.957967</c:v>
                </c:pt>
                <c:pt idx="54">
                  <c:v>280.20384899999999</c:v>
                </c:pt>
                <c:pt idx="55">
                  <c:v>287.44973099999999</c:v>
                </c:pt>
                <c:pt idx="56">
                  <c:v>287.71694024999999</c:v>
                </c:pt>
                <c:pt idx="57">
                  <c:v>287.9841495</c:v>
                </c:pt>
                <c:pt idx="58">
                  <c:v>288.25135875000001</c:v>
                </c:pt>
                <c:pt idx="59">
                  <c:v>288.51856800000002</c:v>
                </c:pt>
                <c:pt idx="60">
                  <c:v>289.1442045</c:v>
                </c:pt>
                <c:pt idx="61">
                  <c:v>289.76984099999999</c:v>
                </c:pt>
                <c:pt idx="62">
                  <c:v>290.39547750000003</c:v>
                </c:pt>
                <c:pt idx="63">
                  <c:v>291.02111400000001</c:v>
                </c:pt>
                <c:pt idx="64">
                  <c:v>294.53697299999999</c:v>
                </c:pt>
                <c:pt idx="65">
                  <c:v>298.05283200000002</c:v>
                </c:pt>
                <c:pt idx="66">
                  <c:v>301.568691</c:v>
                </c:pt>
                <c:pt idx="67">
                  <c:v>305.08454999999998</c:v>
                </c:pt>
                <c:pt idx="68">
                  <c:v>308.84134349999999</c:v>
                </c:pt>
                <c:pt idx="69">
                  <c:v>312.59813700000001</c:v>
                </c:pt>
                <c:pt idx="70">
                  <c:v>316.35493050000002</c:v>
                </c:pt>
                <c:pt idx="71">
                  <c:v>320.11172399999998</c:v>
                </c:pt>
                <c:pt idx="72">
                  <c:v>322.02933457500001</c:v>
                </c:pt>
                <c:pt idx="73">
                  <c:v>323.94694514999998</c:v>
                </c:pt>
                <c:pt idx="74">
                  <c:v>325.864555725</c:v>
                </c:pt>
                <c:pt idx="75">
                  <c:v>327.78216629999997</c:v>
                </c:pt>
                <c:pt idx="76">
                  <c:v>330.99209797499998</c:v>
                </c:pt>
                <c:pt idx="77">
                  <c:v>334.20202964999999</c:v>
                </c:pt>
                <c:pt idx="78">
                  <c:v>337.41196132499999</c:v>
                </c:pt>
                <c:pt idx="79">
                  <c:v>340.621893</c:v>
                </c:pt>
                <c:pt idx="80">
                  <c:v>342.04766999999998</c:v>
                </c:pt>
                <c:pt idx="81">
                  <c:v>343.47344700000002</c:v>
                </c:pt>
                <c:pt idx="82">
                  <c:v>344.899224</c:v>
                </c:pt>
                <c:pt idx="83">
                  <c:v>346.32500099999999</c:v>
                </c:pt>
                <c:pt idx="84">
                  <c:v>371.12539049999998</c:v>
                </c:pt>
                <c:pt idx="85">
                  <c:v>395.92577999999997</c:v>
                </c:pt>
                <c:pt idx="86">
                  <c:v>420.72616950000003</c:v>
                </c:pt>
                <c:pt idx="87">
                  <c:v>445.52655900000002</c:v>
                </c:pt>
                <c:pt idx="88">
                  <c:v>455.25565275000002</c:v>
                </c:pt>
                <c:pt idx="89">
                  <c:v>464.98474650000003</c:v>
                </c:pt>
                <c:pt idx="90">
                  <c:v>474.71384024999998</c:v>
                </c:pt>
                <c:pt idx="91">
                  <c:v>484.44293399999998</c:v>
                </c:pt>
                <c:pt idx="92">
                  <c:v>499.30799775000003</c:v>
                </c:pt>
                <c:pt idx="93">
                  <c:v>514.17306150000002</c:v>
                </c:pt>
                <c:pt idx="94">
                  <c:v>529.03812525000001</c:v>
                </c:pt>
                <c:pt idx="95">
                  <c:v>543.903189</c:v>
                </c:pt>
                <c:pt idx="96">
                  <c:v>544.35382575000006</c:v>
                </c:pt>
                <c:pt idx="97">
                  <c:v>544.8044625</c:v>
                </c:pt>
                <c:pt idx="98">
                  <c:v>545.25509924999994</c:v>
                </c:pt>
                <c:pt idx="99">
                  <c:v>545.705736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A2-8F46-90D2-0365AE685D8D}"/>
            </c:ext>
          </c:extLst>
        </c:ser>
        <c:ser>
          <c:idx val="8"/>
          <c:order val="8"/>
          <c:tx>
            <c:strRef>
              <c:f>'Inflow Quantiles - Seasonal'!$A$34</c:f>
              <c:strCache>
                <c:ptCount val="1"/>
                <c:pt idx="0">
                  <c:v>LBR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Seasonal'!$B$34:$CW$34</c:f>
              <c:numCache>
                <c:formatCode>0.00</c:formatCode>
                <c:ptCount val="100"/>
                <c:pt idx="0">
                  <c:v>8.8230461775000002</c:v>
                </c:pt>
                <c:pt idx="1">
                  <c:v>9.6634267049999991</c:v>
                </c:pt>
                <c:pt idx="2">
                  <c:v>10.5038072325</c:v>
                </c:pt>
                <c:pt idx="3">
                  <c:v>11.344187760000001</c:v>
                </c:pt>
                <c:pt idx="4">
                  <c:v>11.8171977075</c:v>
                </c:pt>
                <c:pt idx="5">
                  <c:v>12.290207655</c:v>
                </c:pt>
                <c:pt idx="6">
                  <c:v>12.763217602499999</c:v>
                </c:pt>
                <c:pt idx="7">
                  <c:v>13.236227550000001</c:v>
                </c:pt>
                <c:pt idx="8">
                  <c:v>13.4489786625</c:v>
                </c:pt>
                <c:pt idx="9">
                  <c:v>13.661729775</c:v>
                </c:pt>
                <c:pt idx="10">
                  <c:v>13.874480887500001</c:v>
                </c:pt>
                <c:pt idx="11">
                  <c:v>14.087232</c:v>
                </c:pt>
                <c:pt idx="12">
                  <c:v>14.3156736</c:v>
                </c:pt>
                <c:pt idx="13">
                  <c:v>14.5441152</c:v>
                </c:pt>
                <c:pt idx="14">
                  <c:v>14.7725568</c:v>
                </c:pt>
                <c:pt idx="15">
                  <c:v>15.0009984</c:v>
                </c:pt>
                <c:pt idx="16">
                  <c:v>15.083540774999999</c:v>
                </c:pt>
                <c:pt idx="17">
                  <c:v>15.16608315</c:v>
                </c:pt>
                <c:pt idx="18">
                  <c:v>15.248625525</c:v>
                </c:pt>
                <c:pt idx="19">
                  <c:v>15.331167900000001</c:v>
                </c:pt>
                <c:pt idx="20">
                  <c:v>15.456890100000001</c:v>
                </c:pt>
                <c:pt idx="21">
                  <c:v>15.582612299999999</c:v>
                </c:pt>
                <c:pt idx="22">
                  <c:v>15.708334499999999</c:v>
                </c:pt>
                <c:pt idx="23">
                  <c:v>15.8340567</c:v>
                </c:pt>
                <c:pt idx="24">
                  <c:v>16.096258875</c:v>
                </c:pt>
                <c:pt idx="25">
                  <c:v>16.358461049999999</c:v>
                </c:pt>
                <c:pt idx="26">
                  <c:v>16.620663225000001</c:v>
                </c:pt>
                <c:pt idx="27">
                  <c:v>16.8828654</c:v>
                </c:pt>
                <c:pt idx="28">
                  <c:v>16.963276050000001</c:v>
                </c:pt>
                <c:pt idx="29">
                  <c:v>17.043686699999999</c:v>
                </c:pt>
                <c:pt idx="30">
                  <c:v>17.12409735</c:v>
                </c:pt>
                <c:pt idx="31">
                  <c:v>17.204508000000001</c:v>
                </c:pt>
                <c:pt idx="32">
                  <c:v>17.69282175</c:v>
                </c:pt>
                <c:pt idx="33">
                  <c:v>18.1811355</c:v>
                </c:pt>
                <c:pt idx="34">
                  <c:v>18.66944925</c:v>
                </c:pt>
                <c:pt idx="35">
                  <c:v>19.157762999999999</c:v>
                </c:pt>
                <c:pt idx="36">
                  <c:v>19.26811695</c:v>
                </c:pt>
                <c:pt idx="37">
                  <c:v>19.3784709</c:v>
                </c:pt>
                <c:pt idx="38">
                  <c:v>19.48882485</c:v>
                </c:pt>
                <c:pt idx="39">
                  <c:v>19.599178800000001</c:v>
                </c:pt>
                <c:pt idx="40">
                  <c:v>19.774426425000001</c:v>
                </c:pt>
                <c:pt idx="41">
                  <c:v>19.949674049999999</c:v>
                </c:pt>
                <c:pt idx="42">
                  <c:v>20.124921675</c:v>
                </c:pt>
                <c:pt idx="43">
                  <c:v>20.3001693</c:v>
                </c:pt>
                <c:pt idx="44">
                  <c:v>21.212894625000001</c:v>
                </c:pt>
                <c:pt idx="45">
                  <c:v>22.125619950000001</c:v>
                </c:pt>
                <c:pt idx="46">
                  <c:v>23.038345275000001</c:v>
                </c:pt>
                <c:pt idx="47">
                  <c:v>23.951070600000001</c:v>
                </c:pt>
                <c:pt idx="48">
                  <c:v>25.108845150000001</c:v>
                </c:pt>
                <c:pt idx="49">
                  <c:v>26.2666197</c:v>
                </c:pt>
                <c:pt idx="50">
                  <c:v>27.424394249999999</c:v>
                </c:pt>
                <c:pt idx="51">
                  <c:v>28.582168800000002</c:v>
                </c:pt>
                <c:pt idx="52">
                  <c:v>28.5940668</c:v>
                </c:pt>
                <c:pt idx="53">
                  <c:v>28.605964799999999</c:v>
                </c:pt>
                <c:pt idx="54">
                  <c:v>28.617862800000001</c:v>
                </c:pt>
                <c:pt idx="55">
                  <c:v>28.6297608</c:v>
                </c:pt>
                <c:pt idx="56">
                  <c:v>29.5377765</c:v>
                </c:pt>
                <c:pt idx="57">
                  <c:v>30.4457922</c:v>
                </c:pt>
                <c:pt idx="58">
                  <c:v>31.3538079</c:v>
                </c:pt>
                <c:pt idx="59">
                  <c:v>32.2618236</c:v>
                </c:pt>
                <c:pt idx="60">
                  <c:v>34.536721200000002</c:v>
                </c:pt>
                <c:pt idx="61">
                  <c:v>36.811618799999998</c:v>
                </c:pt>
                <c:pt idx="62">
                  <c:v>39.086516400000001</c:v>
                </c:pt>
                <c:pt idx="63">
                  <c:v>41.361414000000003</c:v>
                </c:pt>
                <c:pt idx="64">
                  <c:v>44.840537925</c:v>
                </c:pt>
                <c:pt idx="65">
                  <c:v>48.319661850000003</c:v>
                </c:pt>
                <c:pt idx="66">
                  <c:v>51.798785774999999</c:v>
                </c:pt>
                <c:pt idx="67">
                  <c:v>55.277909700000002</c:v>
                </c:pt>
                <c:pt idx="68">
                  <c:v>55.337895449999998</c:v>
                </c:pt>
                <c:pt idx="69">
                  <c:v>55.3978812</c:v>
                </c:pt>
                <c:pt idx="70">
                  <c:v>55.457866950000003</c:v>
                </c:pt>
                <c:pt idx="71">
                  <c:v>55.517852699999999</c:v>
                </c:pt>
                <c:pt idx="72">
                  <c:v>57.046745700000002</c:v>
                </c:pt>
                <c:pt idx="73">
                  <c:v>58.575638699999999</c:v>
                </c:pt>
                <c:pt idx="74">
                  <c:v>60.104531700000003</c:v>
                </c:pt>
                <c:pt idx="75">
                  <c:v>61.633424699999999</c:v>
                </c:pt>
                <c:pt idx="76">
                  <c:v>61.726675274999998</c:v>
                </c:pt>
                <c:pt idx="77">
                  <c:v>61.819925849999997</c:v>
                </c:pt>
                <c:pt idx="78">
                  <c:v>61.913176425000003</c:v>
                </c:pt>
                <c:pt idx="79">
                  <c:v>62.006427000000002</c:v>
                </c:pt>
                <c:pt idx="80">
                  <c:v>62.057637974999999</c:v>
                </c:pt>
                <c:pt idx="81">
                  <c:v>62.108848950000002</c:v>
                </c:pt>
                <c:pt idx="82">
                  <c:v>62.160059924999999</c:v>
                </c:pt>
                <c:pt idx="83">
                  <c:v>62.211270900000002</c:v>
                </c:pt>
                <c:pt idx="84">
                  <c:v>64.401742275000004</c:v>
                </c:pt>
                <c:pt idx="85">
                  <c:v>66.592213650000005</c:v>
                </c:pt>
                <c:pt idx="86">
                  <c:v>68.782685025000006</c:v>
                </c:pt>
                <c:pt idx="87">
                  <c:v>70.973156399999993</c:v>
                </c:pt>
                <c:pt idx="88">
                  <c:v>74.533583324999995</c:v>
                </c:pt>
                <c:pt idx="89">
                  <c:v>78.094010249999997</c:v>
                </c:pt>
                <c:pt idx="90">
                  <c:v>81.654437174999998</c:v>
                </c:pt>
                <c:pt idx="91">
                  <c:v>85.2148641</c:v>
                </c:pt>
                <c:pt idx="92">
                  <c:v>86.994309150000007</c:v>
                </c:pt>
                <c:pt idx="93">
                  <c:v>88.773754199999999</c:v>
                </c:pt>
                <c:pt idx="94">
                  <c:v>90.553199250000006</c:v>
                </c:pt>
                <c:pt idx="95">
                  <c:v>92.332644300000098</c:v>
                </c:pt>
                <c:pt idx="96">
                  <c:v>97.495930125000001</c:v>
                </c:pt>
                <c:pt idx="97">
                  <c:v>102.65921595</c:v>
                </c:pt>
                <c:pt idx="98">
                  <c:v>107.82250177500001</c:v>
                </c:pt>
                <c:pt idx="99">
                  <c:v>112.98578759999999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A2-8F46-90D2-0365AE685D8D}"/>
            </c:ext>
          </c:extLst>
        </c:ser>
        <c:ser>
          <c:idx val="9"/>
          <c:order val="9"/>
          <c:tx>
            <c:strRef>
              <c:f>'Inflow Quantiles - Seasonal'!$A$35</c:f>
              <c:strCache>
                <c:ptCount val="1"/>
                <c:pt idx="0">
                  <c:v>LoganRiver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Seasonal'!$B$35:$CW$35</c:f>
              <c:numCache>
                <c:formatCode>0.00</c:formatCode>
                <c:ptCount val="100"/>
                <c:pt idx="0">
                  <c:v>40.652094900000002</c:v>
                </c:pt>
                <c:pt idx="1">
                  <c:v>44.555432099999997</c:v>
                </c:pt>
                <c:pt idx="2">
                  <c:v>48.4587693</c:v>
                </c:pt>
                <c:pt idx="3">
                  <c:v>52.362106500000003</c:v>
                </c:pt>
                <c:pt idx="4">
                  <c:v>53.775043574999998</c:v>
                </c:pt>
                <c:pt idx="5">
                  <c:v>55.18798065</c:v>
                </c:pt>
                <c:pt idx="6">
                  <c:v>56.600917725000002</c:v>
                </c:pt>
                <c:pt idx="7">
                  <c:v>58.013854799999997</c:v>
                </c:pt>
                <c:pt idx="8">
                  <c:v>59.104703100000002</c:v>
                </c:pt>
                <c:pt idx="9">
                  <c:v>60.195551399999999</c:v>
                </c:pt>
                <c:pt idx="10">
                  <c:v>61.286399699999997</c:v>
                </c:pt>
                <c:pt idx="11">
                  <c:v>62.377248000000002</c:v>
                </c:pt>
                <c:pt idx="12">
                  <c:v>63.193202925000001</c:v>
                </c:pt>
                <c:pt idx="13">
                  <c:v>64.009157849999994</c:v>
                </c:pt>
                <c:pt idx="14">
                  <c:v>64.825112774999994</c:v>
                </c:pt>
                <c:pt idx="15">
                  <c:v>65.641067699999994</c:v>
                </c:pt>
                <c:pt idx="16">
                  <c:v>66.151244024999997</c:v>
                </c:pt>
                <c:pt idx="17">
                  <c:v>66.66142035</c:v>
                </c:pt>
                <c:pt idx="18">
                  <c:v>67.171596675000004</c:v>
                </c:pt>
                <c:pt idx="19">
                  <c:v>67.681773000000007</c:v>
                </c:pt>
                <c:pt idx="20">
                  <c:v>67.731695024999993</c:v>
                </c:pt>
                <c:pt idx="21">
                  <c:v>67.781617049999994</c:v>
                </c:pt>
                <c:pt idx="22">
                  <c:v>67.831539074999995</c:v>
                </c:pt>
                <c:pt idx="23">
                  <c:v>67.881461099999996</c:v>
                </c:pt>
                <c:pt idx="24">
                  <c:v>68.456184074999996</c:v>
                </c:pt>
                <c:pt idx="25">
                  <c:v>69.030907049999996</c:v>
                </c:pt>
                <c:pt idx="26">
                  <c:v>69.605630024999996</c:v>
                </c:pt>
                <c:pt idx="27">
                  <c:v>70.180352999999997</c:v>
                </c:pt>
                <c:pt idx="28">
                  <c:v>70.364920725000005</c:v>
                </c:pt>
                <c:pt idx="29">
                  <c:v>70.549488449999998</c:v>
                </c:pt>
                <c:pt idx="30">
                  <c:v>70.734056175000006</c:v>
                </c:pt>
                <c:pt idx="31">
                  <c:v>70.9186239</c:v>
                </c:pt>
                <c:pt idx="32">
                  <c:v>71.487348299999994</c:v>
                </c:pt>
                <c:pt idx="33">
                  <c:v>72.056072700000001</c:v>
                </c:pt>
                <c:pt idx="34">
                  <c:v>72.624797099999995</c:v>
                </c:pt>
                <c:pt idx="35">
                  <c:v>73.193521500000003</c:v>
                </c:pt>
                <c:pt idx="36">
                  <c:v>74.059348874999998</c:v>
                </c:pt>
                <c:pt idx="37">
                  <c:v>74.925176250000007</c:v>
                </c:pt>
                <c:pt idx="38">
                  <c:v>75.791003625000002</c:v>
                </c:pt>
                <c:pt idx="39">
                  <c:v>76.656830999999997</c:v>
                </c:pt>
                <c:pt idx="40">
                  <c:v>78.760843574999996</c:v>
                </c:pt>
                <c:pt idx="41">
                  <c:v>80.864856149999994</c:v>
                </c:pt>
                <c:pt idx="42">
                  <c:v>82.968868724999993</c:v>
                </c:pt>
                <c:pt idx="43">
                  <c:v>85.072881300000006</c:v>
                </c:pt>
                <c:pt idx="44">
                  <c:v>85.319516925000002</c:v>
                </c:pt>
                <c:pt idx="45">
                  <c:v>85.566152549999998</c:v>
                </c:pt>
                <c:pt idx="46">
                  <c:v>85.812788174999994</c:v>
                </c:pt>
                <c:pt idx="47">
                  <c:v>86.059423800000005</c:v>
                </c:pt>
                <c:pt idx="48">
                  <c:v>86.855251275000001</c:v>
                </c:pt>
                <c:pt idx="49">
                  <c:v>87.651078749999996</c:v>
                </c:pt>
                <c:pt idx="50">
                  <c:v>88.446906225000006</c:v>
                </c:pt>
                <c:pt idx="51">
                  <c:v>89.242733700000002</c:v>
                </c:pt>
                <c:pt idx="52">
                  <c:v>89.681819474999998</c:v>
                </c:pt>
                <c:pt idx="53">
                  <c:v>90.120905250000007</c:v>
                </c:pt>
                <c:pt idx="54">
                  <c:v>90.559991025000002</c:v>
                </c:pt>
                <c:pt idx="55">
                  <c:v>90.999076799999997</c:v>
                </c:pt>
                <c:pt idx="56">
                  <c:v>92.747537475000001</c:v>
                </c:pt>
                <c:pt idx="57">
                  <c:v>94.495998150000005</c:v>
                </c:pt>
                <c:pt idx="58">
                  <c:v>96.244458824999995</c:v>
                </c:pt>
                <c:pt idx="59">
                  <c:v>97.992919499999999</c:v>
                </c:pt>
                <c:pt idx="60">
                  <c:v>98.440631324999998</c:v>
                </c:pt>
                <c:pt idx="61">
                  <c:v>98.888343149999997</c:v>
                </c:pt>
                <c:pt idx="62">
                  <c:v>99.336054974999996</c:v>
                </c:pt>
                <c:pt idx="63">
                  <c:v>99.783766799999995</c:v>
                </c:pt>
                <c:pt idx="64">
                  <c:v>103.28490202499999</c:v>
                </c:pt>
                <c:pt idx="65">
                  <c:v>106.78603725000001</c:v>
                </c:pt>
                <c:pt idx="66">
                  <c:v>110.28717247500001</c:v>
                </c:pt>
                <c:pt idx="67">
                  <c:v>113.7883077</c:v>
                </c:pt>
                <c:pt idx="68">
                  <c:v>119.090899275</c:v>
                </c:pt>
                <c:pt idx="69">
                  <c:v>124.39349085000001</c:v>
                </c:pt>
                <c:pt idx="70">
                  <c:v>129.69608242499999</c:v>
                </c:pt>
                <c:pt idx="71">
                  <c:v>134.99867399999999</c:v>
                </c:pt>
                <c:pt idx="72">
                  <c:v>136.94994600000001</c:v>
                </c:pt>
                <c:pt idx="73">
                  <c:v>138.901218</c:v>
                </c:pt>
                <c:pt idx="74">
                  <c:v>140.85248999999999</c:v>
                </c:pt>
                <c:pt idx="75">
                  <c:v>142.80376200000001</c:v>
                </c:pt>
                <c:pt idx="76">
                  <c:v>146.95418100000001</c:v>
                </c:pt>
                <c:pt idx="77">
                  <c:v>151.1046</c:v>
                </c:pt>
                <c:pt idx="78">
                  <c:v>155.255019</c:v>
                </c:pt>
                <c:pt idx="79">
                  <c:v>159.405438</c:v>
                </c:pt>
                <c:pt idx="80">
                  <c:v>164.20628099999999</c:v>
                </c:pt>
                <c:pt idx="81">
                  <c:v>169.007124</c:v>
                </c:pt>
                <c:pt idx="82">
                  <c:v>173.80796699999999</c:v>
                </c:pt>
                <c:pt idx="83">
                  <c:v>178.60881000000001</c:v>
                </c:pt>
                <c:pt idx="84">
                  <c:v>179.08641555</c:v>
                </c:pt>
                <c:pt idx="85">
                  <c:v>179.56402109999999</c:v>
                </c:pt>
                <c:pt idx="86">
                  <c:v>180.04162665000001</c:v>
                </c:pt>
                <c:pt idx="87">
                  <c:v>180.5192322</c:v>
                </c:pt>
                <c:pt idx="88">
                  <c:v>181.6186074</c:v>
                </c:pt>
                <c:pt idx="89">
                  <c:v>182.7179826</c:v>
                </c:pt>
                <c:pt idx="90">
                  <c:v>183.8173578</c:v>
                </c:pt>
                <c:pt idx="91">
                  <c:v>184.91673299999999</c:v>
                </c:pt>
                <c:pt idx="92">
                  <c:v>191.58556200000001</c:v>
                </c:pt>
                <c:pt idx="93">
                  <c:v>198.254391</c:v>
                </c:pt>
                <c:pt idx="94">
                  <c:v>204.92321999999999</c:v>
                </c:pt>
                <c:pt idx="95">
                  <c:v>211.592049</c:v>
                </c:pt>
                <c:pt idx="96">
                  <c:v>220.48729125</c:v>
                </c:pt>
                <c:pt idx="97">
                  <c:v>229.38253349999999</c:v>
                </c:pt>
                <c:pt idx="98">
                  <c:v>238.27777574999999</c:v>
                </c:pt>
                <c:pt idx="99">
                  <c:v>247.17301800000001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A2-8F46-90D2-0365AE685D8D}"/>
            </c:ext>
          </c:extLst>
        </c:ser>
        <c:ser>
          <c:idx val="10"/>
          <c:order val="10"/>
          <c:tx>
            <c:strRef>
              <c:f>'Inflow Quantiles - Seasonal'!$A$36</c:f>
              <c:strCache>
                <c:ptCount val="1"/>
                <c:pt idx="0">
                  <c:v>Pescadero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Seasonal'!$B$36:$CW$36</c:f>
              <c:numCache>
                <c:formatCode>0.00</c:formatCode>
                <c:ptCount val="100"/>
                <c:pt idx="0">
                  <c:v>130.60206554999999</c:v>
                </c:pt>
                <c:pt idx="1">
                  <c:v>138.95852669999999</c:v>
                </c:pt>
                <c:pt idx="2">
                  <c:v>147.31498784999999</c:v>
                </c:pt>
                <c:pt idx="3">
                  <c:v>155.671449</c:v>
                </c:pt>
                <c:pt idx="4">
                  <c:v>160.37819865</c:v>
                </c:pt>
                <c:pt idx="5">
                  <c:v>165.08494830000001</c:v>
                </c:pt>
                <c:pt idx="6">
                  <c:v>169.79169795000001</c:v>
                </c:pt>
                <c:pt idx="7">
                  <c:v>174.49844759999999</c:v>
                </c:pt>
                <c:pt idx="8">
                  <c:v>176.28562635</c:v>
                </c:pt>
                <c:pt idx="9">
                  <c:v>178.07280510000001</c:v>
                </c:pt>
                <c:pt idx="10">
                  <c:v>179.85998384999999</c:v>
                </c:pt>
                <c:pt idx="11">
                  <c:v>181.6471626</c:v>
                </c:pt>
                <c:pt idx="12">
                  <c:v>190.4165835</c:v>
                </c:pt>
                <c:pt idx="13">
                  <c:v>199.1860044</c:v>
                </c:pt>
                <c:pt idx="14">
                  <c:v>207.9554253</c:v>
                </c:pt>
                <c:pt idx="15">
                  <c:v>216.7248462</c:v>
                </c:pt>
                <c:pt idx="16">
                  <c:v>217.6677627</c:v>
                </c:pt>
                <c:pt idx="17">
                  <c:v>218.61067919999999</c:v>
                </c:pt>
                <c:pt idx="18">
                  <c:v>219.55359569999999</c:v>
                </c:pt>
                <c:pt idx="19">
                  <c:v>220.49651220000001</c:v>
                </c:pt>
                <c:pt idx="20">
                  <c:v>220.76054865</c:v>
                </c:pt>
                <c:pt idx="21">
                  <c:v>221.0245851</c:v>
                </c:pt>
                <c:pt idx="22">
                  <c:v>221.28862154999999</c:v>
                </c:pt>
                <c:pt idx="23">
                  <c:v>221.55265800000001</c:v>
                </c:pt>
                <c:pt idx="24">
                  <c:v>221.84029215000001</c:v>
                </c:pt>
                <c:pt idx="25">
                  <c:v>222.12792630000001</c:v>
                </c:pt>
                <c:pt idx="26">
                  <c:v>222.41556044999999</c:v>
                </c:pt>
                <c:pt idx="27">
                  <c:v>222.70319459999999</c:v>
                </c:pt>
                <c:pt idx="28">
                  <c:v>226.10413875</c:v>
                </c:pt>
                <c:pt idx="29">
                  <c:v>229.50508289999999</c:v>
                </c:pt>
                <c:pt idx="30">
                  <c:v>232.90602705000001</c:v>
                </c:pt>
                <c:pt idx="31">
                  <c:v>236.30697119999999</c:v>
                </c:pt>
                <c:pt idx="32">
                  <c:v>236.988776175</c:v>
                </c:pt>
                <c:pt idx="33">
                  <c:v>237.67058115</c:v>
                </c:pt>
                <c:pt idx="34">
                  <c:v>238.35238612500001</c:v>
                </c:pt>
                <c:pt idx="35">
                  <c:v>239.03419109999999</c:v>
                </c:pt>
                <c:pt idx="36">
                  <c:v>239.16477165000001</c:v>
                </c:pt>
                <c:pt idx="37">
                  <c:v>239.2953522</c:v>
                </c:pt>
                <c:pt idx="38">
                  <c:v>239.42593274999999</c:v>
                </c:pt>
                <c:pt idx="39">
                  <c:v>239.55651330000001</c:v>
                </c:pt>
                <c:pt idx="40">
                  <c:v>240.35853764999999</c:v>
                </c:pt>
                <c:pt idx="41">
                  <c:v>241.160562</c:v>
                </c:pt>
                <c:pt idx="42">
                  <c:v>241.96258635000001</c:v>
                </c:pt>
                <c:pt idx="43">
                  <c:v>242.76461069999999</c:v>
                </c:pt>
                <c:pt idx="44">
                  <c:v>243.37244977500001</c:v>
                </c:pt>
                <c:pt idx="45">
                  <c:v>243.98028884999999</c:v>
                </c:pt>
                <c:pt idx="46">
                  <c:v>244.58812792500001</c:v>
                </c:pt>
                <c:pt idx="47">
                  <c:v>245.195967</c:v>
                </c:pt>
                <c:pt idx="48">
                  <c:v>248.65481475000001</c:v>
                </c:pt>
                <c:pt idx="49">
                  <c:v>252.1136625</c:v>
                </c:pt>
                <c:pt idx="50">
                  <c:v>255.57251024999999</c:v>
                </c:pt>
                <c:pt idx="51">
                  <c:v>259.03135800000001</c:v>
                </c:pt>
                <c:pt idx="52">
                  <c:v>259.89991199999997</c:v>
                </c:pt>
                <c:pt idx="53">
                  <c:v>260.76846599999999</c:v>
                </c:pt>
                <c:pt idx="54">
                  <c:v>261.63702000000001</c:v>
                </c:pt>
                <c:pt idx="55">
                  <c:v>262.50557400000002</c:v>
                </c:pt>
                <c:pt idx="56">
                  <c:v>262.92844874999997</c:v>
                </c:pt>
                <c:pt idx="57">
                  <c:v>263.35132349999998</c:v>
                </c:pt>
                <c:pt idx="58">
                  <c:v>263.77419824999998</c:v>
                </c:pt>
                <c:pt idx="59">
                  <c:v>264.19707299999999</c:v>
                </c:pt>
                <c:pt idx="60">
                  <c:v>264.63571259999998</c:v>
                </c:pt>
                <c:pt idx="61">
                  <c:v>265.07435220000002</c:v>
                </c:pt>
                <c:pt idx="62">
                  <c:v>265.51299180000001</c:v>
                </c:pt>
                <c:pt idx="63">
                  <c:v>265.9516314</c:v>
                </c:pt>
                <c:pt idx="64">
                  <c:v>266.11369207500002</c:v>
                </c:pt>
                <c:pt idx="65">
                  <c:v>266.27575274999998</c:v>
                </c:pt>
                <c:pt idx="66">
                  <c:v>266.437813425</c:v>
                </c:pt>
                <c:pt idx="67">
                  <c:v>266.59987410000002</c:v>
                </c:pt>
                <c:pt idx="68">
                  <c:v>268.12539600000002</c:v>
                </c:pt>
                <c:pt idx="69">
                  <c:v>269.65091790000002</c:v>
                </c:pt>
                <c:pt idx="70">
                  <c:v>271.17643980000003</c:v>
                </c:pt>
                <c:pt idx="71">
                  <c:v>272.70196170000003</c:v>
                </c:pt>
                <c:pt idx="72">
                  <c:v>272.84498557500001</c:v>
                </c:pt>
                <c:pt idx="73">
                  <c:v>272.98800944999999</c:v>
                </c:pt>
                <c:pt idx="74">
                  <c:v>273.13103332499998</c:v>
                </c:pt>
                <c:pt idx="75">
                  <c:v>273.27405720000002</c:v>
                </c:pt>
                <c:pt idx="76">
                  <c:v>274.97854484999999</c:v>
                </c:pt>
                <c:pt idx="77">
                  <c:v>276.68303250000002</c:v>
                </c:pt>
                <c:pt idx="78">
                  <c:v>278.38752015</c:v>
                </c:pt>
                <c:pt idx="79">
                  <c:v>280.09200779999998</c:v>
                </c:pt>
                <c:pt idx="80">
                  <c:v>280.56217709999999</c:v>
                </c:pt>
                <c:pt idx="81">
                  <c:v>281.03234639999999</c:v>
                </c:pt>
                <c:pt idx="82">
                  <c:v>281.5025157</c:v>
                </c:pt>
                <c:pt idx="83">
                  <c:v>281.97268500000001</c:v>
                </c:pt>
                <c:pt idx="84">
                  <c:v>282.42748605000003</c:v>
                </c:pt>
                <c:pt idx="85">
                  <c:v>282.88228709999999</c:v>
                </c:pt>
                <c:pt idx="86">
                  <c:v>283.33708815</c:v>
                </c:pt>
                <c:pt idx="87">
                  <c:v>283.79188920000001</c:v>
                </c:pt>
                <c:pt idx="88">
                  <c:v>290.6439474</c:v>
                </c:pt>
                <c:pt idx="89">
                  <c:v>297.49600559999999</c:v>
                </c:pt>
                <c:pt idx="90">
                  <c:v>304.34806379999998</c:v>
                </c:pt>
                <c:pt idx="91">
                  <c:v>311.20012200000002</c:v>
                </c:pt>
                <c:pt idx="92">
                  <c:v>313.21088400000002</c:v>
                </c:pt>
                <c:pt idx="93">
                  <c:v>315.22164600000002</c:v>
                </c:pt>
                <c:pt idx="94">
                  <c:v>317.23240800000002</c:v>
                </c:pt>
                <c:pt idx="95">
                  <c:v>319.24317000000002</c:v>
                </c:pt>
                <c:pt idx="96">
                  <c:v>339.72359399999999</c:v>
                </c:pt>
                <c:pt idx="97">
                  <c:v>360.20401800000002</c:v>
                </c:pt>
                <c:pt idx="98">
                  <c:v>380.68444199999999</c:v>
                </c:pt>
                <c:pt idx="99">
                  <c:v>401.16486600000002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A2-8F46-90D2-0365AE685D8D}"/>
            </c:ext>
          </c:extLst>
        </c:ser>
        <c:ser>
          <c:idx val="11"/>
          <c:order val="11"/>
          <c:tx>
            <c:strRef>
              <c:f>'Inflow Quantiles - Seasonal'!$A$37</c:f>
              <c:strCache>
                <c:ptCount val="1"/>
                <c:pt idx="0">
                  <c:v>Randolf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Seasonal'!$B$37:$CW$37</c:f>
              <c:numCache>
                <c:formatCode>0.00</c:formatCode>
                <c:ptCount val="100"/>
                <c:pt idx="0">
                  <c:v>0.99716146500000002</c:v>
                </c:pt>
                <c:pt idx="1">
                  <c:v>1.01277759</c:v>
                </c:pt>
                <c:pt idx="2">
                  <c:v>1.028393715</c:v>
                </c:pt>
                <c:pt idx="3">
                  <c:v>1.04400984</c:v>
                </c:pt>
                <c:pt idx="4">
                  <c:v>1.164566325</c:v>
                </c:pt>
                <c:pt idx="5">
                  <c:v>1.2851228100000001</c:v>
                </c:pt>
                <c:pt idx="6">
                  <c:v>1.4056792950000001</c:v>
                </c:pt>
                <c:pt idx="7">
                  <c:v>1.5262357799999999</c:v>
                </c:pt>
                <c:pt idx="8">
                  <c:v>1.5559460775</c:v>
                </c:pt>
                <c:pt idx="9">
                  <c:v>1.5856563749999999</c:v>
                </c:pt>
                <c:pt idx="10">
                  <c:v>1.6153666725</c:v>
                </c:pt>
                <c:pt idx="11">
                  <c:v>1.6450769700000001</c:v>
                </c:pt>
                <c:pt idx="12">
                  <c:v>1.6770825899999999</c:v>
                </c:pt>
                <c:pt idx="13">
                  <c:v>1.70908821</c:v>
                </c:pt>
                <c:pt idx="14">
                  <c:v>1.7410938300000001</c:v>
                </c:pt>
                <c:pt idx="15">
                  <c:v>1.7730994499999999</c:v>
                </c:pt>
                <c:pt idx="16">
                  <c:v>1.7754840075</c:v>
                </c:pt>
                <c:pt idx="17">
                  <c:v>1.7778685649999999</c:v>
                </c:pt>
                <c:pt idx="18">
                  <c:v>1.7802531225</c:v>
                </c:pt>
                <c:pt idx="19">
                  <c:v>1.7826376799999999</c:v>
                </c:pt>
                <c:pt idx="20">
                  <c:v>1.89933723</c:v>
                </c:pt>
                <c:pt idx="21">
                  <c:v>2.0160367799999999</c:v>
                </c:pt>
                <c:pt idx="22">
                  <c:v>2.1327363300000002</c:v>
                </c:pt>
                <c:pt idx="23">
                  <c:v>2.2494358800000001</c:v>
                </c:pt>
                <c:pt idx="24">
                  <c:v>2.2756808849999999</c:v>
                </c:pt>
                <c:pt idx="25">
                  <c:v>2.3019258900000001</c:v>
                </c:pt>
                <c:pt idx="26">
                  <c:v>2.328170895</c:v>
                </c:pt>
                <c:pt idx="27">
                  <c:v>2.3544158999999998</c:v>
                </c:pt>
                <c:pt idx="28">
                  <c:v>2.3826786074999999</c:v>
                </c:pt>
                <c:pt idx="29">
                  <c:v>2.4109413150000001</c:v>
                </c:pt>
                <c:pt idx="30">
                  <c:v>2.4392040224999998</c:v>
                </c:pt>
                <c:pt idx="31">
                  <c:v>2.4674667299999999</c:v>
                </c:pt>
                <c:pt idx="32">
                  <c:v>2.5582682999999999</c:v>
                </c:pt>
                <c:pt idx="33">
                  <c:v>2.6490698699999999</c:v>
                </c:pt>
                <c:pt idx="34">
                  <c:v>2.7398714399999999</c:v>
                </c:pt>
                <c:pt idx="35">
                  <c:v>2.8306730099999999</c:v>
                </c:pt>
                <c:pt idx="36">
                  <c:v>2.9016247499999999</c:v>
                </c:pt>
                <c:pt idx="37">
                  <c:v>2.9725764899999998</c:v>
                </c:pt>
                <c:pt idx="38">
                  <c:v>3.0435282300000002</c:v>
                </c:pt>
                <c:pt idx="39">
                  <c:v>3.1144799700000001</c:v>
                </c:pt>
                <c:pt idx="40">
                  <c:v>3.1951335374999998</c:v>
                </c:pt>
                <c:pt idx="41">
                  <c:v>3.275787105</c:v>
                </c:pt>
                <c:pt idx="42">
                  <c:v>3.3564406725000002</c:v>
                </c:pt>
                <c:pt idx="43">
                  <c:v>3.43709424</c:v>
                </c:pt>
                <c:pt idx="44">
                  <c:v>3.5496344474999999</c:v>
                </c:pt>
                <c:pt idx="45">
                  <c:v>3.6621746549999998</c:v>
                </c:pt>
                <c:pt idx="46">
                  <c:v>3.7747148625000002</c:v>
                </c:pt>
                <c:pt idx="47">
                  <c:v>3.8872550700000001</c:v>
                </c:pt>
                <c:pt idx="48">
                  <c:v>3.9344802149999998</c:v>
                </c:pt>
                <c:pt idx="49">
                  <c:v>3.9817053599999999</c:v>
                </c:pt>
                <c:pt idx="50">
                  <c:v>4.0289305049999999</c:v>
                </c:pt>
                <c:pt idx="51">
                  <c:v>4.0761556499999996</c:v>
                </c:pt>
                <c:pt idx="52">
                  <c:v>4.1205996374999998</c:v>
                </c:pt>
                <c:pt idx="53">
                  <c:v>4.165043625</c:v>
                </c:pt>
                <c:pt idx="54">
                  <c:v>4.2094876125000003</c:v>
                </c:pt>
                <c:pt idx="55">
                  <c:v>4.2539315999999996</c:v>
                </c:pt>
                <c:pt idx="56">
                  <c:v>4.3527940650000003</c:v>
                </c:pt>
                <c:pt idx="57">
                  <c:v>4.4516565300000002</c:v>
                </c:pt>
                <c:pt idx="58">
                  <c:v>4.550518995</c:v>
                </c:pt>
                <c:pt idx="59">
                  <c:v>4.6493814599999999</c:v>
                </c:pt>
                <c:pt idx="60">
                  <c:v>4.7398112174999998</c:v>
                </c:pt>
                <c:pt idx="61">
                  <c:v>4.8302409749999997</c:v>
                </c:pt>
                <c:pt idx="62">
                  <c:v>4.9206707324999996</c:v>
                </c:pt>
                <c:pt idx="63">
                  <c:v>5.0111004899999996</c:v>
                </c:pt>
                <c:pt idx="64">
                  <c:v>5.1026903025000001</c:v>
                </c:pt>
                <c:pt idx="65">
                  <c:v>5.1942801149999998</c:v>
                </c:pt>
                <c:pt idx="66">
                  <c:v>5.2858699275000003</c:v>
                </c:pt>
                <c:pt idx="67">
                  <c:v>5.3774597399999999</c:v>
                </c:pt>
                <c:pt idx="68">
                  <c:v>5.4531905099999998</c:v>
                </c:pt>
                <c:pt idx="69">
                  <c:v>5.5289212799999996</c:v>
                </c:pt>
                <c:pt idx="70">
                  <c:v>5.6046520500000003</c:v>
                </c:pt>
                <c:pt idx="71">
                  <c:v>5.6803828200000002</c:v>
                </c:pt>
                <c:pt idx="72">
                  <c:v>5.8871750174999997</c:v>
                </c:pt>
                <c:pt idx="73">
                  <c:v>6.0939672150000002</c:v>
                </c:pt>
                <c:pt idx="74">
                  <c:v>6.3007594124999997</c:v>
                </c:pt>
                <c:pt idx="75">
                  <c:v>6.5075516100000002</c:v>
                </c:pt>
                <c:pt idx="76">
                  <c:v>6.6210436574999996</c:v>
                </c:pt>
                <c:pt idx="77">
                  <c:v>6.7345357049999999</c:v>
                </c:pt>
                <c:pt idx="78">
                  <c:v>6.8480277525000002</c:v>
                </c:pt>
                <c:pt idx="79">
                  <c:v>6.9615197999999996</c:v>
                </c:pt>
                <c:pt idx="80">
                  <c:v>7.7125810499999998</c:v>
                </c:pt>
                <c:pt idx="81">
                  <c:v>8.4636423000000001</c:v>
                </c:pt>
                <c:pt idx="82">
                  <c:v>9.2147035499999994</c:v>
                </c:pt>
                <c:pt idx="83">
                  <c:v>9.9657648000000094</c:v>
                </c:pt>
                <c:pt idx="84">
                  <c:v>10.539496274999999</c:v>
                </c:pt>
                <c:pt idx="85">
                  <c:v>11.11322775</c:v>
                </c:pt>
                <c:pt idx="86">
                  <c:v>11.686959225000001</c:v>
                </c:pt>
                <c:pt idx="87">
                  <c:v>12.2606907</c:v>
                </c:pt>
                <c:pt idx="88">
                  <c:v>12.797637525000001</c:v>
                </c:pt>
                <c:pt idx="89">
                  <c:v>13.33458435</c:v>
                </c:pt>
                <c:pt idx="90">
                  <c:v>13.871531174999999</c:v>
                </c:pt>
                <c:pt idx="91">
                  <c:v>14.408478000000001</c:v>
                </c:pt>
                <c:pt idx="92">
                  <c:v>15.09687645</c:v>
                </c:pt>
                <c:pt idx="93">
                  <c:v>15.785274899999999</c:v>
                </c:pt>
                <c:pt idx="94">
                  <c:v>16.473673349999999</c:v>
                </c:pt>
                <c:pt idx="95">
                  <c:v>17.1620718</c:v>
                </c:pt>
                <c:pt idx="96">
                  <c:v>18.329860499999999</c:v>
                </c:pt>
                <c:pt idx="97">
                  <c:v>19.497649200000001</c:v>
                </c:pt>
                <c:pt idx="98">
                  <c:v>20.665437900000001</c:v>
                </c:pt>
                <c:pt idx="99">
                  <c:v>21.8332266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A2-8F46-90D2-0365AE685D8D}"/>
            </c:ext>
          </c:extLst>
        </c:ser>
        <c:ser>
          <c:idx val="12"/>
          <c:order val="12"/>
          <c:tx>
            <c:strRef>
              <c:f>'Inflow Quantiles - Seasonal'!$A$38</c:f>
              <c:strCache>
                <c:ptCount val="1"/>
                <c:pt idx="0">
                  <c:v>SmithsFork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Seasonal'!$B$38:$CW$38</c:f>
              <c:numCache>
                <c:formatCode>0.00</c:formatCode>
                <c:ptCount val="100"/>
                <c:pt idx="0">
                  <c:v>50.116656450000001</c:v>
                </c:pt>
                <c:pt idx="1">
                  <c:v>51.358311899999997</c:v>
                </c:pt>
                <c:pt idx="2">
                  <c:v>52.59996735</c:v>
                </c:pt>
                <c:pt idx="3">
                  <c:v>53.841622800000003</c:v>
                </c:pt>
                <c:pt idx="4">
                  <c:v>54.571565100000001</c:v>
                </c:pt>
                <c:pt idx="5">
                  <c:v>55.301507399999998</c:v>
                </c:pt>
                <c:pt idx="6">
                  <c:v>56.031449700000003</c:v>
                </c:pt>
                <c:pt idx="7">
                  <c:v>56.761392000000001</c:v>
                </c:pt>
                <c:pt idx="8">
                  <c:v>57.042234375</c:v>
                </c:pt>
                <c:pt idx="9">
                  <c:v>57.323076749999998</c:v>
                </c:pt>
                <c:pt idx="10">
                  <c:v>57.603919124999997</c:v>
                </c:pt>
                <c:pt idx="11">
                  <c:v>57.884761500000003</c:v>
                </c:pt>
                <c:pt idx="12">
                  <c:v>59.591380874999999</c:v>
                </c:pt>
                <c:pt idx="13">
                  <c:v>61.298000250000001</c:v>
                </c:pt>
                <c:pt idx="14">
                  <c:v>63.004619624999997</c:v>
                </c:pt>
                <c:pt idx="15">
                  <c:v>64.711239000000006</c:v>
                </c:pt>
                <c:pt idx="16">
                  <c:v>64.867796850000005</c:v>
                </c:pt>
                <c:pt idx="17">
                  <c:v>65.024354700000004</c:v>
                </c:pt>
                <c:pt idx="18">
                  <c:v>65.180912550000002</c:v>
                </c:pt>
                <c:pt idx="19">
                  <c:v>65.337470400000001</c:v>
                </c:pt>
                <c:pt idx="20">
                  <c:v>65.965436925000006</c:v>
                </c:pt>
                <c:pt idx="21">
                  <c:v>66.593403449999997</c:v>
                </c:pt>
                <c:pt idx="22">
                  <c:v>67.221369975000002</c:v>
                </c:pt>
                <c:pt idx="23">
                  <c:v>67.849336500000007</c:v>
                </c:pt>
                <c:pt idx="24">
                  <c:v>68.850602774999999</c:v>
                </c:pt>
                <c:pt idx="25">
                  <c:v>69.851869050000005</c:v>
                </c:pt>
                <c:pt idx="26">
                  <c:v>70.853135324999997</c:v>
                </c:pt>
                <c:pt idx="27">
                  <c:v>71.854401600000003</c:v>
                </c:pt>
                <c:pt idx="28">
                  <c:v>72.53764425</c:v>
                </c:pt>
                <c:pt idx="29">
                  <c:v>73.220886899999996</c:v>
                </c:pt>
                <c:pt idx="30">
                  <c:v>73.904129549999993</c:v>
                </c:pt>
                <c:pt idx="31">
                  <c:v>74.587372200000004</c:v>
                </c:pt>
                <c:pt idx="32">
                  <c:v>75.465642900000006</c:v>
                </c:pt>
                <c:pt idx="33">
                  <c:v>76.343913599999993</c:v>
                </c:pt>
                <c:pt idx="34">
                  <c:v>77.222184299999995</c:v>
                </c:pt>
                <c:pt idx="35">
                  <c:v>78.100454999999997</c:v>
                </c:pt>
                <c:pt idx="36">
                  <c:v>79.355495700000006</c:v>
                </c:pt>
                <c:pt idx="37">
                  <c:v>80.610536400000001</c:v>
                </c:pt>
                <c:pt idx="38">
                  <c:v>81.865577099999996</c:v>
                </c:pt>
                <c:pt idx="39">
                  <c:v>83.120617800000005</c:v>
                </c:pt>
                <c:pt idx="40">
                  <c:v>85.173766424999997</c:v>
                </c:pt>
                <c:pt idx="41">
                  <c:v>87.226915050000002</c:v>
                </c:pt>
                <c:pt idx="42">
                  <c:v>89.280063674999994</c:v>
                </c:pt>
                <c:pt idx="43">
                  <c:v>91.3332123</c:v>
                </c:pt>
                <c:pt idx="44">
                  <c:v>92.051107875</c:v>
                </c:pt>
                <c:pt idx="45">
                  <c:v>92.76900345</c:v>
                </c:pt>
                <c:pt idx="46">
                  <c:v>93.486899025</c:v>
                </c:pt>
                <c:pt idx="47">
                  <c:v>94.2047946</c:v>
                </c:pt>
                <c:pt idx="48">
                  <c:v>94.278958799999998</c:v>
                </c:pt>
                <c:pt idx="49">
                  <c:v>94.353122999999997</c:v>
                </c:pt>
                <c:pt idx="50">
                  <c:v>94.427287199999995</c:v>
                </c:pt>
                <c:pt idx="51">
                  <c:v>94.501451399999993</c:v>
                </c:pt>
                <c:pt idx="52">
                  <c:v>95.718071475000002</c:v>
                </c:pt>
                <c:pt idx="53">
                  <c:v>96.934691549999997</c:v>
                </c:pt>
                <c:pt idx="54">
                  <c:v>98.151311625000005</c:v>
                </c:pt>
                <c:pt idx="55">
                  <c:v>99.3679317</c:v>
                </c:pt>
                <c:pt idx="56">
                  <c:v>99.538172250000002</c:v>
                </c:pt>
                <c:pt idx="57">
                  <c:v>99.708412800000005</c:v>
                </c:pt>
                <c:pt idx="58">
                  <c:v>99.878653349999993</c:v>
                </c:pt>
                <c:pt idx="59">
                  <c:v>100.0488939</c:v>
                </c:pt>
                <c:pt idx="60">
                  <c:v>101.0760879</c:v>
                </c:pt>
                <c:pt idx="61">
                  <c:v>102.1032819</c:v>
                </c:pt>
                <c:pt idx="62">
                  <c:v>103.13047589999999</c:v>
                </c:pt>
                <c:pt idx="63">
                  <c:v>104.1576699</c:v>
                </c:pt>
                <c:pt idx="64">
                  <c:v>104.26723065</c:v>
                </c:pt>
                <c:pt idx="65">
                  <c:v>104.3767914</c:v>
                </c:pt>
                <c:pt idx="66">
                  <c:v>104.48635215</c:v>
                </c:pt>
                <c:pt idx="67">
                  <c:v>104.5959129</c:v>
                </c:pt>
                <c:pt idx="68">
                  <c:v>104.689758375</c:v>
                </c:pt>
                <c:pt idx="69">
                  <c:v>104.78360385000001</c:v>
                </c:pt>
                <c:pt idx="70">
                  <c:v>104.877449325</c:v>
                </c:pt>
                <c:pt idx="71">
                  <c:v>104.9712948</c:v>
                </c:pt>
                <c:pt idx="72">
                  <c:v>109.394425875</c:v>
                </c:pt>
                <c:pt idx="73">
                  <c:v>113.81755695</c:v>
                </c:pt>
                <c:pt idx="74">
                  <c:v>118.240688025</c:v>
                </c:pt>
                <c:pt idx="75">
                  <c:v>122.6638191</c:v>
                </c:pt>
                <c:pt idx="76">
                  <c:v>122.915412225</c:v>
                </c:pt>
                <c:pt idx="77">
                  <c:v>123.16700535</c:v>
                </c:pt>
                <c:pt idx="78">
                  <c:v>123.418598475</c:v>
                </c:pt>
                <c:pt idx="79">
                  <c:v>123.6701916</c:v>
                </c:pt>
                <c:pt idx="80">
                  <c:v>124.085084775</c:v>
                </c:pt>
                <c:pt idx="81">
                  <c:v>124.49997795</c:v>
                </c:pt>
                <c:pt idx="82">
                  <c:v>124.914871125</c:v>
                </c:pt>
                <c:pt idx="83">
                  <c:v>125.32976429999999</c:v>
                </c:pt>
                <c:pt idx="84">
                  <c:v>127.236071775</c:v>
                </c:pt>
                <c:pt idx="85">
                  <c:v>129.14237925</c:v>
                </c:pt>
                <c:pt idx="86">
                  <c:v>131.04868672500001</c:v>
                </c:pt>
                <c:pt idx="87">
                  <c:v>132.95499419999999</c:v>
                </c:pt>
                <c:pt idx="88">
                  <c:v>138.05358465</c:v>
                </c:pt>
                <c:pt idx="89">
                  <c:v>143.15217509999999</c:v>
                </c:pt>
                <c:pt idx="90">
                  <c:v>148.25076555000001</c:v>
                </c:pt>
                <c:pt idx="91">
                  <c:v>153.349356</c:v>
                </c:pt>
                <c:pt idx="92">
                  <c:v>160.73513865000001</c:v>
                </c:pt>
                <c:pt idx="93">
                  <c:v>168.12092129999999</c:v>
                </c:pt>
                <c:pt idx="94">
                  <c:v>175.50670395</c:v>
                </c:pt>
                <c:pt idx="95">
                  <c:v>182.89248660000001</c:v>
                </c:pt>
                <c:pt idx="96">
                  <c:v>185.7811227</c:v>
                </c:pt>
                <c:pt idx="97">
                  <c:v>188.66975880000001</c:v>
                </c:pt>
                <c:pt idx="98">
                  <c:v>191.5583949</c:v>
                </c:pt>
                <c:pt idx="99">
                  <c:v>194.44703100000001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A2-8F46-90D2-0365AE685D8D}"/>
            </c:ext>
          </c:extLst>
        </c:ser>
        <c:ser>
          <c:idx val="13"/>
          <c:order val="13"/>
          <c:tx>
            <c:strRef>
              <c:f>'Inflow Quantiles - Seasonal'!$A$39</c:f>
              <c:strCache>
                <c:ptCount val="1"/>
                <c:pt idx="0">
                  <c:v>UT-WY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val>
            <c:numRef>
              <c:f>'Inflow Quantiles - Seasonal'!$B$39:$CW$39</c:f>
              <c:numCache>
                <c:formatCode>0.00</c:formatCode>
                <c:ptCount val="100"/>
                <c:pt idx="0">
                  <c:v>62.846574525000001</c:v>
                </c:pt>
                <c:pt idx="1">
                  <c:v>63.749979750000001</c:v>
                </c:pt>
                <c:pt idx="2">
                  <c:v>64.653384974999994</c:v>
                </c:pt>
                <c:pt idx="3">
                  <c:v>65.556790199999995</c:v>
                </c:pt>
                <c:pt idx="4">
                  <c:v>66.126357374999998</c:v>
                </c:pt>
                <c:pt idx="5">
                  <c:v>66.695924550000001</c:v>
                </c:pt>
                <c:pt idx="6">
                  <c:v>67.265491725000004</c:v>
                </c:pt>
                <c:pt idx="7">
                  <c:v>67.835058900000007</c:v>
                </c:pt>
                <c:pt idx="8">
                  <c:v>69.169964925000002</c:v>
                </c:pt>
                <c:pt idx="9">
                  <c:v>70.504870949999997</c:v>
                </c:pt>
                <c:pt idx="10">
                  <c:v>71.839776975000007</c:v>
                </c:pt>
                <c:pt idx="11">
                  <c:v>73.174683000000002</c:v>
                </c:pt>
                <c:pt idx="12">
                  <c:v>73.217267925000002</c:v>
                </c:pt>
                <c:pt idx="13">
                  <c:v>73.259852850000001</c:v>
                </c:pt>
                <c:pt idx="14">
                  <c:v>73.302437775000001</c:v>
                </c:pt>
                <c:pt idx="15">
                  <c:v>73.345022700000001</c:v>
                </c:pt>
                <c:pt idx="16">
                  <c:v>74.997902775</c:v>
                </c:pt>
                <c:pt idx="17">
                  <c:v>76.650782849999999</c:v>
                </c:pt>
                <c:pt idx="18">
                  <c:v>78.303662924999998</c:v>
                </c:pt>
                <c:pt idx="19">
                  <c:v>79.956542999999996</c:v>
                </c:pt>
                <c:pt idx="20">
                  <c:v>80.481096074999996</c:v>
                </c:pt>
                <c:pt idx="21">
                  <c:v>81.005649149999996</c:v>
                </c:pt>
                <c:pt idx="22">
                  <c:v>81.530202224999996</c:v>
                </c:pt>
                <c:pt idx="23">
                  <c:v>82.054755299999997</c:v>
                </c:pt>
                <c:pt idx="24">
                  <c:v>82.822820774999997</c:v>
                </c:pt>
                <c:pt idx="25">
                  <c:v>83.590886249999997</c:v>
                </c:pt>
                <c:pt idx="26">
                  <c:v>84.358951724999997</c:v>
                </c:pt>
                <c:pt idx="27">
                  <c:v>85.127017199999997</c:v>
                </c:pt>
                <c:pt idx="28">
                  <c:v>85.631541975000005</c:v>
                </c:pt>
                <c:pt idx="29">
                  <c:v>86.136066749999998</c:v>
                </c:pt>
                <c:pt idx="30">
                  <c:v>86.640591525000005</c:v>
                </c:pt>
                <c:pt idx="31">
                  <c:v>87.145116299999998</c:v>
                </c:pt>
                <c:pt idx="32">
                  <c:v>87.977827575000006</c:v>
                </c:pt>
                <c:pt idx="33">
                  <c:v>88.81053885</c:v>
                </c:pt>
                <c:pt idx="34">
                  <c:v>89.643250124999994</c:v>
                </c:pt>
                <c:pt idx="35">
                  <c:v>90.475961400000003</c:v>
                </c:pt>
                <c:pt idx="36">
                  <c:v>90.554983949999993</c:v>
                </c:pt>
                <c:pt idx="37">
                  <c:v>90.634006499999998</c:v>
                </c:pt>
                <c:pt idx="38">
                  <c:v>90.713029050000003</c:v>
                </c:pt>
                <c:pt idx="39">
                  <c:v>90.792051599999994</c:v>
                </c:pt>
                <c:pt idx="40">
                  <c:v>93.284930474999996</c:v>
                </c:pt>
                <c:pt idx="41">
                  <c:v>95.777809349999998</c:v>
                </c:pt>
                <c:pt idx="42">
                  <c:v>98.270688225000001</c:v>
                </c:pt>
                <c:pt idx="43">
                  <c:v>100.7635671</c:v>
                </c:pt>
                <c:pt idx="44">
                  <c:v>101.648232975</c:v>
                </c:pt>
                <c:pt idx="45">
                  <c:v>102.53289885</c:v>
                </c:pt>
                <c:pt idx="46">
                  <c:v>103.41756472500001</c:v>
                </c:pt>
                <c:pt idx="47">
                  <c:v>104.3022306</c:v>
                </c:pt>
                <c:pt idx="48">
                  <c:v>106.563693375</c:v>
                </c:pt>
                <c:pt idx="49">
                  <c:v>108.82515615</c:v>
                </c:pt>
                <c:pt idx="50">
                  <c:v>111.086618925</c:v>
                </c:pt>
                <c:pt idx="51">
                  <c:v>113.34808169999999</c:v>
                </c:pt>
                <c:pt idx="52">
                  <c:v>113.8878543</c:v>
                </c:pt>
                <c:pt idx="53">
                  <c:v>114.42762690000001</c:v>
                </c:pt>
                <c:pt idx="54">
                  <c:v>114.9673995</c:v>
                </c:pt>
                <c:pt idx="55">
                  <c:v>115.50717210000001</c:v>
                </c:pt>
                <c:pt idx="56">
                  <c:v>117.00760905</c:v>
                </c:pt>
                <c:pt idx="57">
                  <c:v>118.50804599999999</c:v>
                </c:pt>
                <c:pt idx="58">
                  <c:v>120.00848295</c:v>
                </c:pt>
                <c:pt idx="59">
                  <c:v>121.5089199</c:v>
                </c:pt>
                <c:pt idx="60">
                  <c:v>121.88499585</c:v>
                </c:pt>
                <c:pt idx="61">
                  <c:v>122.2610718</c:v>
                </c:pt>
                <c:pt idx="62">
                  <c:v>122.63714775</c:v>
                </c:pt>
                <c:pt idx="63">
                  <c:v>123.0132237</c:v>
                </c:pt>
                <c:pt idx="64">
                  <c:v>123.12967537500001</c:v>
                </c:pt>
                <c:pt idx="65">
                  <c:v>123.24612705</c:v>
                </c:pt>
                <c:pt idx="66">
                  <c:v>123.36257872500001</c:v>
                </c:pt>
                <c:pt idx="67">
                  <c:v>123.4790304</c:v>
                </c:pt>
                <c:pt idx="68">
                  <c:v>125.3273847</c:v>
                </c:pt>
                <c:pt idx="69">
                  <c:v>127.17573899999999</c:v>
                </c:pt>
                <c:pt idx="70">
                  <c:v>129.0240933</c:v>
                </c:pt>
                <c:pt idx="71">
                  <c:v>130.87244759999999</c:v>
                </c:pt>
                <c:pt idx="72">
                  <c:v>132.51233902499999</c:v>
                </c:pt>
                <c:pt idx="73">
                  <c:v>134.15223044999999</c:v>
                </c:pt>
                <c:pt idx="74">
                  <c:v>135.79212187499999</c:v>
                </c:pt>
                <c:pt idx="75">
                  <c:v>137.43201329999999</c:v>
                </c:pt>
                <c:pt idx="76">
                  <c:v>139.857668475</c:v>
                </c:pt>
                <c:pt idx="77">
                  <c:v>142.28332365</c:v>
                </c:pt>
                <c:pt idx="78">
                  <c:v>144.708978825</c:v>
                </c:pt>
                <c:pt idx="79">
                  <c:v>147.13463400000001</c:v>
                </c:pt>
                <c:pt idx="80">
                  <c:v>147.36966907499999</c:v>
                </c:pt>
                <c:pt idx="81">
                  <c:v>147.60470415</c:v>
                </c:pt>
                <c:pt idx="82">
                  <c:v>147.83973922499999</c:v>
                </c:pt>
                <c:pt idx="83">
                  <c:v>148.0747743</c:v>
                </c:pt>
                <c:pt idx="84">
                  <c:v>151.48989689999999</c:v>
                </c:pt>
                <c:pt idx="85">
                  <c:v>154.90501950000001</c:v>
                </c:pt>
                <c:pt idx="86">
                  <c:v>158.3201421</c:v>
                </c:pt>
                <c:pt idx="87">
                  <c:v>161.73526469999999</c:v>
                </c:pt>
                <c:pt idx="88">
                  <c:v>164.96938897499999</c:v>
                </c:pt>
                <c:pt idx="89">
                  <c:v>168.20351324999999</c:v>
                </c:pt>
                <c:pt idx="90">
                  <c:v>171.43763752500001</c:v>
                </c:pt>
                <c:pt idx="91">
                  <c:v>174.67176180000001</c:v>
                </c:pt>
                <c:pt idx="92">
                  <c:v>175.70049262500001</c:v>
                </c:pt>
                <c:pt idx="93">
                  <c:v>176.72922345000001</c:v>
                </c:pt>
                <c:pt idx="94">
                  <c:v>177.757954275</c:v>
                </c:pt>
                <c:pt idx="95">
                  <c:v>178.7866851</c:v>
                </c:pt>
                <c:pt idx="96">
                  <c:v>195.41651970000001</c:v>
                </c:pt>
                <c:pt idx="97">
                  <c:v>212.04635429999999</c:v>
                </c:pt>
                <c:pt idx="98">
                  <c:v>228.6761889</c:v>
                </c:pt>
                <c:pt idx="99">
                  <c:v>245.30602350000001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A2-8F46-90D2-0365AE685D8D}"/>
            </c:ext>
          </c:extLst>
        </c:ser>
        <c:ser>
          <c:idx val="14"/>
          <c:order val="14"/>
          <c:tx>
            <c:strRef>
              <c:f>'Inflow Quantiles - Seasonal'!$A$40</c:f>
              <c:strCache>
                <c:ptCount val="1"/>
                <c:pt idx="0">
                  <c:v>WYBorder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val>
            <c:numRef>
              <c:f>'Inflow Quantiles - Seasonal'!$B$40:$CW$40</c:f>
              <c:numCache>
                <c:formatCode>0.00</c:formatCode>
                <c:ptCount val="100"/>
                <c:pt idx="0">
                  <c:v>43.650143024999998</c:v>
                </c:pt>
                <c:pt idx="1">
                  <c:v>44.774256149999999</c:v>
                </c:pt>
                <c:pt idx="2">
                  <c:v>45.898369275</c:v>
                </c:pt>
                <c:pt idx="3">
                  <c:v>47.022482400000001</c:v>
                </c:pt>
                <c:pt idx="4">
                  <c:v>47.251122299999999</c:v>
                </c:pt>
                <c:pt idx="5">
                  <c:v>47.479762200000003</c:v>
                </c:pt>
                <c:pt idx="6">
                  <c:v>47.708402100000001</c:v>
                </c:pt>
                <c:pt idx="7">
                  <c:v>47.937041999999998</c:v>
                </c:pt>
                <c:pt idx="8">
                  <c:v>49.269568425000003</c:v>
                </c:pt>
                <c:pt idx="9">
                  <c:v>50.60209485</c:v>
                </c:pt>
                <c:pt idx="10">
                  <c:v>51.934621274999998</c:v>
                </c:pt>
                <c:pt idx="11">
                  <c:v>53.267147700000002</c:v>
                </c:pt>
                <c:pt idx="12">
                  <c:v>54.083945399999998</c:v>
                </c:pt>
                <c:pt idx="13">
                  <c:v>54.9007431</c:v>
                </c:pt>
                <c:pt idx="14">
                  <c:v>55.717540800000002</c:v>
                </c:pt>
                <c:pt idx="15">
                  <c:v>56.534338499999997</c:v>
                </c:pt>
                <c:pt idx="16">
                  <c:v>56.757872175000003</c:v>
                </c:pt>
                <c:pt idx="17">
                  <c:v>56.981405850000002</c:v>
                </c:pt>
                <c:pt idx="18">
                  <c:v>57.204939525</c:v>
                </c:pt>
                <c:pt idx="19">
                  <c:v>57.428473199999999</c:v>
                </c:pt>
                <c:pt idx="20">
                  <c:v>62.205470624999997</c:v>
                </c:pt>
                <c:pt idx="21">
                  <c:v>66.982468049999994</c:v>
                </c:pt>
                <c:pt idx="22">
                  <c:v>71.759465474999999</c:v>
                </c:pt>
                <c:pt idx="23">
                  <c:v>76.536462900000004</c:v>
                </c:pt>
                <c:pt idx="24">
                  <c:v>77.141971949999999</c:v>
                </c:pt>
                <c:pt idx="25">
                  <c:v>77.747480999999993</c:v>
                </c:pt>
                <c:pt idx="26">
                  <c:v>78.352990050000002</c:v>
                </c:pt>
                <c:pt idx="27">
                  <c:v>78.958499099999997</c:v>
                </c:pt>
                <c:pt idx="28">
                  <c:v>79.480870874999994</c:v>
                </c:pt>
                <c:pt idx="29">
                  <c:v>80.003242650000004</c:v>
                </c:pt>
                <c:pt idx="30">
                  <c:v>80.525614425000001</c:v>
                </c:pt>
                <c:pt idx="31">
                  <c:v>81.047986199999997</c:v>
                </c:pt>
                <c:pt idx="32">
                  <c:v>86.940768149999997</c:v>
                </c:pt>
                <c:pt idx="33">
                  <c:v>92.833550099999997</c:v>
                </c:pt>
                <c:pt idx="34">
                  <c:v>98.726332049999996</c:v>
                </c:pt>
                <c:pt idx="35">
                  <c:v>104.619114</c:v>
                </c:pt>
                <c:pt idx="36">
                  <c:v>107.0139831</c:v>
                </c:pt>
                <c:pt idx="37">
                  <c:v>109.4088522</c:v>
                </c:pt>
                <c:pt idx="38">
                  <c:v>111.80372130000001</c:v>
                </c:pt>
                <c:pt idx="39">
                  <c:v>114.1985904</c:v>
                </c:pt>
                <c:pt idx="40">
                  <c:v>117.522048825</c:v>
                </c:pt>
                <c:pt idx="41">
                  <c:v>120.84550725</c:v>
                </c:pt>
                <c:pt idx="42">
                  <c:v>124.168965675</c:v>
                </c:pt>
                <c:pt idx="43">
                  <c:v>127.49242409999999</c:v>
                </c:pt>
                <c:pt idx="44">
                  <c:v>131.39124997499999</c:v>
                </c:pt>
                <c:pt idx="45">
                  <c:v>135.29007584999999</c:v>
                </c:pt>
                <c:pt idx="46">
                  <c:v>139.18890172499999</c:v>
                </c:pt>
                <c:pt idx="47">
                  <c:v>143.08772759999999</c:v>
                </c:pt>
                <c:pt idx="48">
                  <c:v>144.50795220000001</c:v>
                </c:pt>
                <c:pt idx="49">
                  <c:v>145.92817679999999</c:v>
                </c:pt>
                <c:pt idx="50">
                  <c:v>147.3484014</c:v>
                </c:pt>
                <c:pt idx="51">
                  <c:v>148.76862600000001</c:v>
                </c:pt>
                <c:pt idx="52">
                  <c:v>151.15873590000001</c:v>
                </c:pt>
                <c:pt idx="53">
                  <c:v>153.54884580000001</c:v>
                </c:pt>
                <c:pt idx="54">
                  <c:v>155.93895570000001</c:v>
                </c:pt>
                <c:pt idx="55">
                  <c:v>158.32906560000001</c:v>
                </c:pt>
                <c:pt idx="56">
                  <c:v>158.84261302499999</c:v>
                </c:pt>
                <c:pt idx="57">
                  <c:v>159.35616045</c:v>
                </c:pt>
                <c:pt idx="58">
                  <c:v>159.86970787499999</c:v>
                </c:pt>
                <c:pt idx="59">
                  <c:v>160.3832553</c:v>
                </c:pt>
                <c:pt idx="60">
                  <c:v>162.744462975</c:v>
                </c:pt>
                <c:pt idx="61">
                  <c:v>165.10567065000001</c:v>
                </c:pt>
                <c:pt idx="62">
                  <c:v>167.46687832500001</c:v>
                </c:pt>
                <c:pt idx="63">
                  <c:v>169.82808600000001</c:v>
                </c:pt>
                <c:pt idx="64">
                  <c:v>172.73129714999999</c:v>
                </c:pt>
                <c:pt idx="65">
                  <c:v>175.63450829999999</c:v>
                </c:pt>
                <c:pt idx="66">
                  <c:v>178.53771945</c:v>
                </c:pt>
                <c:pt idx="67">
                  <c:v>181.4409306</c:v>
                </c:pt>
                <c:pt idx="68">
                  <c:v>181.98060405000001</c:v>
                </c:pt>
                <c:pt idx="69">
                  <c:v>182.52027749999999</c:v>
                </c:pt>
                <c:pt idx="70">
                  <c:v>183.05995095</c:v>
                </c:pt>
                <c:pt idx="71">
                  <c:v>183.59962440000001</c:v>
                </c:pt>
                <c:pt idx="72">
                  <c:v>192.904405725</c:v>
                </c:pt>
                <c:pt idx="73">
                  <c:v>202.20918705</c:v>
                </c:pt>
                <c:pt idx="74">
                  <c:v>211.51396837499999</c:v>
                </c:pt>
                <c:pt idx="75">
                  <c:v>220.81874970000001</c:v>
                </c:pt>
                <c:pt idx="76">
                  <c:v>225.42877852500001</c:v>
                </c:pt>
                <c:pt idx="77">
                  <c:v>230.03880735000001</c:v>
                </c:pt>
                <c:pt idx="78">
                  <c:v>234.64883617500001</c:v>
                </c:pt>
                <c:pt idx="79">
                  <c:v>239.25886499999999</c:v>
                </c:pt>
                <c:pt idx="80">
                  <c:v>240.90624224999999</c:v>
                </c:pt>
                <c:pt idx="81">
                  <c:v>242.5536195</c:v>
                </c:pt>
                <c:pt idx="82">
                  <c:v>244.20099675</c:v>
                </c:pt>
                <c:pt idx="83">
                  <c:v>245.84837400000001</c:v>
                </c:pt>
                <c:pt idx="84">
                  <c:v>274.76943749999998</c:v>
                </c:pt>
                <c:pt idx="85">
                  <c:v>303.69050099999998</c:v>
                </c:pt>
                <c:pt idx="86">
                  <c:v>332.61156449999999</c:v>
                </c:pt>
                <c:pt idx="87">
                  <c:v>361.53262799999999</c:v>
                </c:pt>
                <c:pt idx="88">
                  <c:v>371.77631024999999</c:v>
                </c:pt>
                <c:pt idx="89">
                  <c:v>382.0199925</c:v>
                </c:pt>
                <c:pt idx="90">
                  <c:v>392.26367475000001</c:v>
                </c:pt>
                <c:pt idx="91">
                  <c:v>402.50735700000001</c:v>
                </c:pt>
                <c:pt idx="92">
                  <c:v>414.87433650000003</c:v>
                </c:pt>
                <c:pt idx="93">
                  <c:v>427.24131599999998</c:v>
                </c:pt>
                <c:pt idx="94">
                  <c:v>439.6082955</c:v>
                </c:pt>
                <c:pt idx="95">
                  <c:v>451.97527500000098</c:v>
                </c:pt>
                <c:pt idx="96">
                  <c:v>505.86577875</c:v>
                </c:pt>
                <c:pt idx="97">
                  <c:v>559.7562825</c:v>
                </c:pt>
                <c:pt idx="98">
                  <c:v>613.64678624999999</c:v>
                </c:pt>
                <c:pt idx="99">
                  <c:v>667.53728999999998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A2-8F46-90D2-0365AE685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99231"/>
        <c:axId val="760904351"/>
      </c:areaChart>
      <c:catAx>
        <c:axId val="123599231"/>
        <c:scaling>
          <c:orientation val="maxMin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Percentile</a:t>
                </a:r>
              </a:p>
            </c:rich>
          </c:tx>
          <c:layout>
            <c:manualLayout>
              <c:xMode val="edge"/>
              <c:yMode val="edge"/>
              <c:x val="0.46338621917111628"/>
              <c:y val="0.92000771573084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3">
                <a:lumMod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04351"/>
        <c:crosses val="autoZero"/>
        <c:auto val="1"/>
        <c:lblAlgn val="ctr"/>
        <c:lblOffset val="100"/>
        <c:tickLblSkip val="4"/>
        <c:tickMarkSkip val="5"/>
        <c:noMultiLvlLbl val="0"/>
      </c:catAx>
      <c:valAx>
        <c:axId val="760904351"/>
        <c:scaling>
          <c:orientation val="minMax"/>
          <c:max val="6000"/>
        </c:scaling>
        <c:delete val="0"/>
        <c:axPos val="r"/>
        <c:majorGridlines>
          <c:spPr>
            <a:ln w="9525" cap="flat" cmpd="sng" algn="ctr">
              <a:solidFill>
                <a:schemeClr val="accent3">
                  <a:lumMod val="75000"/>
                  <a:alpha val="1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 Inflow (acft)</a:t>
                </a:r>
              </a:p>
            </c:rich>
          </c:tx>
          <c:layout>
            <c:manualLayout>
              <c:xMode val="edge"/>
              <c:yMode val="edge"/>
              <c:x val="8.7798554203082895E-3"/>
              <c:y val="0.29540850546945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9231"/>
        <c:crossesAt val="1"/>
        <c:crossBetween val="midCat"/>
        <c:majorUnit val="500"/>
        <c:minorUnit val="10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04409554161414"/>
          <c:y val="0.11742455047703823"/>
          <c:w val="0.78917441645924191"/>
          <c:h val="0.20956511324267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Winter Flow Percentile</a:t>
            </a:r>
          </a:p>
        </c:rich>
      </c:tx>
      <c:layout>
        <c:manualLayout>
          <c:xMode val="edge"/>
          <c:yMode val="edge"/>
          <c:x val="0.29615475784954814"/>
          <c:y val="3.762973877296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476882347864656E-2"/>
          <c:y val="3.6724512715434955E-2"/>
          <c:w val="0.88374237069142114"/>
          <c:h val="0.80662214192439152"/>
        </c:manualLayout>
      </c:layout>
      <c:areaChart>
        <c:grouping val="stacked"/>
        <c:varyColors val="0"/>
        <c:ser>
          <c:idx val="0"/>
          <c:order val="0"/>
          <c:tx>
            <c:strRef>
              <c:f>'Inflow Quantiles - Seasonal'!$A$43</c:f>
              <c:strCache>
                <c:ptCount val="1"/>
                <c:pt idx="0">
                  <c:v>AboveWoodruff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'Inflow Quantiles - Seasonal'!$B$43:$CW$43</c:f>
              <c:numCache>
                <c:formatCode>0.00</c:formatCode>
                <c:ptCount val="100"/>
                <c:pt idx="0">
                  <c:v>2.2769297784</c:v>
                </c:pt>
                <c:pt idx="1">
                  <c:v>2.8842727068</c:v>
                </c:pt>
                <c:pt idx="2">
                  <c:v>3.4916156352000001</c:v>
                </c:pt>
                <c:pt idx="3">
                  <c:v>4.2017731476</c:v>
                </c:pt>
                <c:pt idx="4">
                  <c:v>5.4774108720000001</c:v>
                </c:pt>
                <c:pt idx="5">
                  <c:v>6.7530485964000002</c:v>
                </c:pt>
                <c:pt idx="6">
                  <c:v>8.0286863208000003</c:v>
                </c:pt>
                <c:pt idx="7">
                  <c:v>8.9863301652000001</c:v>
                </c:pt>
                <c:pt idx="8">
                  <c:v>9.2284877796</c:v>
                </c:pt>
                <c:pt idx="9">
                  <c:v>9.4706453939999999</c:v>
                </c:pt>
                <c:pt idx="10">
                  <c:v>9.7128030083999999</c:v>
                </c:pt>
                <c:pt idx="11">
                  <c:v>9.9045035844000004</c:v>
                </c:pt>
                <c:pt idx="12">
                  <c:v>10.0373376156</c:v>
                </c:pt>
                <c:pt idx="13">
                  <c:v>10.1701716468</c:v>
                </c:pt>
                <c:pt idx="14">
                  <c:v>10.303005678</c:v>
                </c:pt>
                <c:pt idx="15">
                  <c:v>10.5432167796</c:v>
                </c:pt>
                <c:pt idx="16">
                  <c:v>10.8505385502</c:v>
                </c:pt>
                <c:pt idx="17">
                  <c:v>11.157860320799999</c:v>
                </c:pt>
                <c:pt idx="18">
                  <c:v>11.465182091400001</c:v>
                </c:pt>
                <c:pt idx="19">
                  <c:v>11.710943609999999</c:v>
                </c:pt>
                <c:pt idx="20">
                  <c:v>11.938237053</c:v>
                </c:pt>
                <c:pt idx="21">
                  <c:v>12.165530496000001</c:v>
                </c:pt>
                <c:pt idx="22">
                  <c:v>12.392823938999999</c:v>
                </c:pt>
                <c:pt idx="23">
                  <c:v>12.4150244172</c:v>
                </c:pt>
                <c:pt idx="24">
                  <c:v>12.420133815</c:v>
                </c:pt>
                <c:pt idx="25">
                  <c:v>12.4252432128</c:v>
                </c:pt>
                <c:pt idx="26">
                  <c:v>12.436935774</c:v>
                </c:pt>
                <c:pt idx="27">
                  <c:v>12.527626295999999</c:v>
                </c:pt>
                <c:pt idx="28">
                  <c:v>12.618316818</c:v>
                </c:pt>
                <c:pt idx="29">
                  <c:v>12.709007339999999</c:v>
                </c:pt>
                <c:pt idx="30">
                  <c:v>12.826057881000001</c:v>
                </c:pt>
                <c:pt idx="31">
                  <c:v>13.030975152</c:v>
                </c:pt>
                <c:pt idx="32">
                  <c:v>13.235892422999999</c:v>
                </c:pt>
                <c:pt idx="33">
                  <c:v>13.440809694</c:v>
                </c:pt>
                <c:pt idx="34">
                  <c:v>13.659536577000001</c:v>
                </c:pt>
                <c:pt idx="35">
                  <c:v>13.900358839200001</c:v>
                </c:pt>
                <c:pt idx="36">
                  <c:v>14.141181101400001</c:v>
                </c:pt>
                <c:pt idx="37">
                  <c:v>14.382003363600001</c:v>
                </c:pt>
                <c:pt idx="38">
                  <c:v>14.5062890784</c:v>
                </c:pt>
                <c:pt idx="39">
                  <c:v>14.530686323999999</c:v>
                </c:pt>
                <c:pt idx="40">
                  <c:v>14.555083569600001</c:v>
                </c:pt>
                <c:pt idx="41">
                  <c:v>14.5794808152</c:v>
                </c:pt>
                <c:pt idx="42">
                  <c:v>14.757016029000001</c:v>
                </c:pt>
                <c:pt idx="43">
                  <c:v>15.002612561999999</c:v>
                </c:pt>
                <c:pt idx="44">
                  <c:v>15.248209095</c:v>
                </c:pt>
                <c:pt idx="45">
                  <c:v>15.493805628</c:v>
                </c:pt>
                <c:pt idx="46">
                  <c:v>15.920310457799999</c:v>
                </c:pt>
                <c:pt idx="47">
                  <c:v>16.379707705200001</c:v>
                </c:pt>
                <c:pt idx="48">
                  <c:v>16.8391049526</c:v>
                </c:pt>
                <c:pt idx="49">
                  <c:v>17.298502200000001</c:v>
                </c:pt>
                <c:pt idx="50">
                  <c:v>17.355164442</c:v>
                </c:pt>
                <c:pt idx="51">
                  <c:v>17.411826684000001</c:v>
                </c:pt>
                <c:pt idx="52">
                  <c:v>17.468488925999999</c:v>
                </c:pt>
                <c:pt idx="53">
                  <c:v>17.539888823999998</c:v>
                </c:pt>
                <c:pt idx="54">
                  <c:v>17.692345830000001</c:v>
                </c:pt>
                <c:pt idx="55">
                  <c:v>17.844802836</c:v>
                </c:pt>
                <c:pt idx="56">
                  <c:v>17.997259841999998</c:v>
                </c:pt>
                <c:pt idx="57">
                  <c:v>18.382076856000001</c:v>
                </c:pt>
                <c:pt idx="58">
                  <c:v>19.289703887999998</c:v>
                </c:pt>
                <c:pt idx="59">
                  <c:v>20.197330919999999</c:v>
                </c:pt>
                <c:pt idx="60">
                  <c:v>21.104957951999999</c:v>
                </c:pt>
                <c:pt idx="61">
                  <c:v>21.7595430792</c:v>
                </c:pt>
                <c:pt idx="62">
                  <c:v>22.118912650799999</c:v>
                </c:pt>
                <c:pt idx="63">
                  <c:v>22.478282222400001</c:v>
                </c:pt>
                <c:pt idx="64">
                  <c:v>22.837651793999999</c:v>
                </c:pt>
                <c:pt idx="65">
                  <c:v>23.171902308</c:v>
                </c:pt>
                <c:pt idx="66">
                  <c:v>23.490453411000001</c:v>
                </c:pt>
                <c:pt idx="67">
                  <c:v>23.809004514000002</c:v>
                </c:pt>
                <c:pt idx="68">
                  <c:v>24.127555616999999</c:v>
                </c:pt>
                <c:pt idx="69">
                  <c:v>24.390138528000001</c:v>
                </c:pt>
                <c:pt idx="70">
                  <c:v>24.635930981400001</c:v>
                </c:pt>
                <c:pt idx="71">
                  <c:v>24.881723434800001</c:v>
                </c:pt>
                <c:pt idx="72">
                  <c:v>25.127515888200001</c:v>
                </c:pt>
                <c:pt idx="73">
                  <c:v>26.043008688</c:v>
                </c:pt>
                <c:pt idx="74">
                  <c:v>27.01430985</c:v>
                </c:pt>
                <c:pt idx="75">
                  <c:v>27.985611012</c:v>
                </c:pt>
                <c:pt idx="76">
                  <c:v>28.908447654</c:v>
                </c:pt>
                <c:pt idx="77">
                  <c:v>29.249710056000001</c:v>
                </c:pt>
                <c:pt idx="78">
                  <c:v>29.590972458</c:v>
                </c:pt>
                <c:pt idx="79">
                  <c:v>29.932234860000001</c:v>
                </c:pt>
                <c:pt idx="80">
                  <c:v>30.236768135999998</c:v>
                </c:pt>
                <c:pt idx="81">
                  <c:v>30.418870991999999</c:v>
                </c:pt>
                <c:pt idx="82">
                  <c:v>30.600973847999999</c:v>
                </c:pt>
                <c:pt idx="83">
                  <c:v>30.783076703999999</c:v>
                </c:pt>
                <c:pt idx="84">
                  <c:v>31.0652814</c:v>
                </c:pt>
                <c:pt idx="85">
                  <c:v>31.50764904</c:v>
                </c:pt>
                <c:pt idx="86">
                  <c:v>31.950016680000001</c:v>
                </c:pt>
                <c:pt idx="87">
                  <c:v>32.392384319999998</c:v>
                </c:pt>
                <c:pt idx="88">
                  <c:v>32.743470504000001</c:v>
                </c:pt>
                <c:pt idx="89">
                  <c:v>33.01631544</c:v>
                </c:pt>
                <c:pt idx="90">
                  <c:v>33.289160375999998</c:v>
                </c:pt>
                <c:pt idx="91">
                  <c:v>33.562005311999997</c:v>
                </c:pt>
                <c:pt idx="92">
                  <c:v>35.243371181999997</c:v>
                </c:pt>
                <c:pt idx="93">
                  <c:v>37.550746355999998</c:v>
                </c:pt>
                <c:pt idx="94">
                  <c:v>39.858121529999998</c:v>
                </c:pt>
                <c:pt idx="95">
                  <c:v>42.165496703999999</c:v>
                </c:pt>
                <c:pt idx="96">
                  <c:v>42.913150763399997</c:v>
                </c:pt>
                <c:pt idx="97">
                  <c:v>43.377219165600003</c:v>
                </c:pt>
                <c:pt idx="98">
                  <c:v>43.841287567800002</c:v>
                </c:pt>
                <c:pt idx="99">
                  <c:v>44.305355970000001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E-9749-A4AF-7743584FFE63}"/>
            </c:ext>
          </c:extLst>
        </c:ser>
        <c:ser>
          <c:idx val="2"/>
          <c:order val="1"/>
          <c:tx>
            <c:strRef>
              <c:f>'Inflow Quantiles - Seasonal'!$A$44</c:f>
              <c:strCache>
                <c:ptCount val="1"/>
                <c:pt idx="0">
                  <c:v>BelowPixley_Cokeville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'Inflow Quantiles - Seasonal'!$B$44:$CW$44</c:f>
              <c:numCache>
                <c:formatCode>0.00</c:formatCode>
                <c:ptCount val="100"/>
                <c:pt idx="0">
                  <c:v>2.3010930299999999E-2</c:v>
                </c:pt>
                <c:pt idx="1">
                  <c:v>4.5010530600000001E-2</c:v>
                </c:pt>
                <c:pt idx="2">
                  <c:v>6.7010130900000006E-2</c:v>
                </c:pt>
                <c:pt idx="3">
                  <c:v>8.9009731199999997E-2</c:v>
                </c:pt>
                <c:pt idx="4">
                  <c:v>0.1110093315</c:v>
                </c:pt>
                <c:pt idx="5">
                  <c:v>0.16410514800000001</c:v>
                </c:pt>
                <c:pt idx="6">
                  <c:v>0.228306756</c:v>
                </c:pt>
                <c:pt idx="7">
                  <c:v>0.29250836400000002</c:v>
                </c:pt>
                <c:pt idx="8">
                  <c:v>0.35670997199999999</c:v>
                </c:pt>
                <c:pt idx="9">
                  <c:v>0.42091158000000001</c:v>
                </c:pt>
                <c:pt idx="10">
                  <c:v>0.46919544870000002</c:v>
                </c:pt>
                <c:pt idx="11">
                  <c:v>0.4997929404</c:v>
                </c:pt>
                <c:pt idx="12">
                  <c:v>0.53039043210000003</c:v>
                </c:pt>
                <c:pt idx="13">
                  <c:v>0.56098792379999995</c:v>
                </c:pt>
                <c:pt idx="14">
                  <c:v>0.59158541549999999</c:v>
                </c:pt>
                <c:pt idx="15">
                  <c:v>0.61797736079999999</c:v>
                </c:pt>
                <c:pt idx="16">
                  <c:v>0.62859850709999998</c:v>
                </c:pt>
                <c:pt idx="17">
                  <c:v>0.63921965339999998</c:v>
                </c:pt>
                <c:pt idx="18">
                  <c:v>0.64984079969999997</c:v>
                </c:pt>
                <c:pt idx="19">
                  <c:v>0.66046194599999997</c:v>
                </c:pt>
                <c:pt idx="20">
                  <c:v>0.67108309229999996</c:v>
                </c:pt>
                <c:pt idx="21">
                  <c:v>0.68306418000000002</c:v>
                </c:pt>
                <c:pt idx="22">
                  <c:v>0.69512081999999997</c:v>
                </c:pt>
                <c:pt idx="23">
                  <c:v>0.70717746000000004</c:v>
                </c:pt>
                <c:pt idx="24">
                  <c:v>0.71923409999999999</c:v>
                </c:pt>
                <c:pt idx="25">
                  <c:v>0.73129074000000005</c:v>
                </c:pt>
                <c:pt idx="26">
                  <c:v>0.75489637200000004</c:v>
                </c:pt>
                <c:pt idx="27">
                  <c:v>0.78383230800000003</c:v>
                </c:pt>
                <c:pt idx="28">
                  <c:v>0.81276824400000003</c:v>
                </c:pt>
                <c:pt idx="29">
                  <c:v>0.84170418000000002</c:v>
                </c:pt>
                <c:pt idx="30">
                  <c:v>0.87064011600000002</c:v>
                </c:pt>
                <c:pt idx="31">
                  <c:v>0.91324606080000004</c:v>
                </c:pt>
                <c:pt idx="32">
                  <c:v>0.97464826770000001</c:v>
                </c:pt>
                <c:pt idx="33">
                  <c:v>1.0360504746000001</c:v>
                </c:pt>
                <c:pt idx="34">
                  <c:v>1.0974526815000001</c:v>
                </c:pt>
                <c:pt idx="35">
                  <c:v>1.1588548884000001</c:v>
                </c:pt>
                <c:pt idx="36">
                  <c:v>1.2187615167000001</c:v>
                </c:pt>
                <c:pt idx="37">
                  <c:v>1.2706917257999999</c:v>
                </c:pt>
                <c:pt idx="38">
                  <c:v>1.3226219348999999</c:v>
                </c:pt>
                <c:pt idx="39">
                  <c:v>1.3745521439999999</c:v>
                </c:pt>
                <c:pt idx="40">
                  <c:v>1.4264823530999999</c:v>
                </c:pt>
                <c:pt idx="41">
                  <c:v>1.4784125621999999</c:v>
                </c:pt>
                <c:pt idx="42">
                  <c:v>1.497599277</c:v>
                </c:pt>
                <c:pt idx="43">
                  <c:v>1.5129338160000001</c:v>
                </c:pt>
                <c:pt idx="44">
                  <c:v>1.528268355</c:v>
                </c:pt>
                <c:pt idx="45">
                  <c:v>1.5436028939999999</c:v>
                </c:pt>
                <c:pt idx="46">
                  <c:v>1.5589374330000001</c:v>
                </c:pt>
                <c:pt idx="47">
                  <c:v>1.571107104</c:v>
                </c:pt>
                <c:pt idx="48">
                  <c:v>1.581430602</c:v>
                </c:pt>
                <c:pt idx="49">
                  <c:v>1.5917540999999999</c:v>
                </c:pt>
                <c:pt idx="50">
                  <c:v>1.6020775979999999</c:v>
                </c:pt>
                <c:pt idx="51">
                  <c:v>1.6124010959999999</c:v>
                </c:pt>
                <c:pt idx="52">
                  <c:v>1.6219889009999999</c:v>
                </c:pt>
                <c:pt idx="53">
                  <c:v>1.630315518</c:v>
                </c:pt>
                <c:pt idx="54">
                  <c:v>1.638642135</c:v>
                </c:pt>
                <c:pt idx="55">
                  <c:v>1.646968752</c:v>
                </c:pt>
                <c:pt idx="56">
                  <c:v>1.6552953690000001</c:v>
                </c:pt>
                <c:pt idx="57">
                  <c:v>1.6748299019999999</c:v>
                </c:pt>
                <c:pt idx="58">
                  <c:v>1.7896317209999999</c:v>
                </c:pt>
                <c:pt idx="59">
                  <c:v>1.9044335400000001</c:v>
                </c:pt>
                <c:pt idx="60">
                  <c:v>2.0192353590000001</c:v>
                </c:pt>
                <c:pt idx="61">
                  <c:v>2.1340371779999998</c:v>
                </c:pt>
                <c:pt idx="62">
                  <c:v>2.248838997</c:v>
                </c:pt>
                <c:pt idx="63">
                  <c:v>2.4079553136</c:v>
                </c:pt>
                <c:pt idx="64">
                  <c:v>2.5753805984999998</c:v>
                </c:pt>
                <c:pt idx="65">
                  <c:v>2.7428058834</c:v>
                </c:pt>
                <c:pt idx="66">
                  <c:v>2.9102311683000002</c:v>
                </c:pt>
                <c:pt idx="67">
                  <c:v>3.0776564531999999</c:v>
                </c:pt>
                <c:pt idx="68">
                  <c:v>3.1628598159000001</c:v>
                </c:pt>
                <c:pt idx="69">
                  <c:v>3.1882654170000002</c:v>
                </c:pt>
                <c:pt idx="70">
                  <c:v>3.2136710180999999</c:v>
                </c:pt>
                <c:pt idx="71">
                  <c:v>3.2390766192</c:v>
                </c:pt>
                <c:pt idx="72">
                  <c:v>3.2644822203000001</c:v>
                </c:pt>
                <c:pt idx="73">
                  <c:v>3.29221626</c:v>
                </c:pt>
                <c:pt idx="74">
                  <c:v>3.3249952500000002</c:v>
                </c:pt>
                <c:pt idx="75">
                  <c:v>3.3577742399999999</c:v>
                </c:pt>
                <c:pt idx="76">
                  <c:v>3.3905532300000001</c:v>
                </c:pt>
                <c:pt idx="77">
                  <c:v>3.4233322199999998</c:v>
                </c:pt>
                <c:pt idx="78">
                  <c:v>3.49380804000001</c:v>
                </c:pt>
                <c:pt idx="79">
                  <c:v>4.2428268000000102</c:v>
                </c:pt>
                <c:pt idx="80">
                  <c:v>4.9918455599999998</c:v>
                </c:pt>
                <c:pt idx="81">
                  <c:v>5.7408643200000098</c:v>
                </c:pt>
                <c:pt idx="82">
                  <c:v>6.48988308000001</c:v>
                </c:pt>
                <c:pt idx="83">
                  <c:v>7.2389018399999996</c:v>
                </c:pt>
                <c:pt idx="84">
                  <c:v>7.6908870299999998</c:v>
                </c:pt>
                <c:pt idx="85">
                  <c:v>8.0636632680000009</c:v>
                </c:pt>
                <c:pt idx="86">
                  <c:v>8.4364395059999993</c:v>
                </c:pt>
                <c:pt idx="87">
                  <c:v>8.8092157439999994</c:v>
                </c:pt>
                <c:pt idx="88">
                  <c:v>9.1819919819999996</c:v>
                </c:pt>
                <c:pt idx="89">
                  <c:v>9.4563122699999997</c:v>
                </c:pt>
                <c:pt idx="90">
                  <c:v>9.6420222029999998</c:v>
                </c:pt>
                <c:pt idx="91">
                  <c:v>9.8277321359999998</c:v>
                </c:pt>
                <c:pt idx="92">
                  <c:v>10.013442069</c:v>
                </c:pt>
                <c:pt idx="93">
                  <c:v>10.199152002</c:v>
                </c:pt>
                <c:pt idx="94">
                  <c:v>11.318359185</c:v>
                </c:pt>
                <c:pt idx="95">
                  <c:v>15.051358668000001</c:v>
                </c:pt>
                <c:pt idx="96">
                  <c:v>18.784358150999999</c:v>
                </c:pt>
                <c:pt idx="97">
                  <c:v>22.517357634</c:v>
                </c:pt>
                <c:pt idx="98">
                  <c:v>26.250357117</c:v>
                </c:pt>
                <c:pt idx="99">
                  <c:v>29.9833566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E-9749-A4AF-7743584FFE63}"/>
            </c:ext>
          </c:extLst>
        </c:ser>
        <c:ser>
          <c:idx val="1"/>
          <c:order val="2"/>
          <c:tx>
            <c:strRef>
              <c:f>'Inflow Quantiles - Seasonal'!$A$45</c:f>
              <c:strCache>
                <c:ptCount val="1"/>
                <c:pt idx="0">
                  <c:v>BelowSmithsFork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'Inflow Quantiles - Seasonal'!$B$45:$CW$45</c:f>
              <c:numCache>
                <c:formatCode>0.00</c:formatCode>
                <c:ptCount val="100"/>
                <c:pt idx="0">
                  <c:v>27.248208666</c:v>
                </c:pt>
                <c:pt idx="1">
                  <c:v>29.850701831999999</c:v>
                </c:pt>
                <c:pt idx="2">
                  <c:v>32.453194998000001</c:v>
                </c:pt>
                <c:pt idx="3">
                  <c:v>34.718086380000003</c:v>
                </c:pt>
                <c:pt idx="4">
                  <c:v>35.126167950000003</c:v>
                </c:pt>
                <c:pt idx="5">
                  <c:v>35.534249520000003</c:v>
                </c:pt>
                <c:pt idx="6">
                  <c:v>35.942331090000003</c:v>
                </c:pt>
                <c:pt idx="7">
                  <c:v>36.227942579999997</c:v>
                </c:pt>
                <c:pt idx="8">
                  <c:v>36.237996389999999</c:v>
                </c:pt>
                <c:pt idx="9">
                  <c:v>36.248050200000002</c:v>
                </c:pt>
                <c:pt idx="10">
                  <c:v>36.258104009999997</c:v>
                </c:pt>
                <c:pt idx="11">
                  <c:v>36.336261972000003</c:v>
                </c:pt>
                <c:pt idx="12">
                  <c:v>36.493874777999999</c:v>
                </c:pt>
                <c:pt idx="13">
                  <c:v>36.651487584000002</c:v>
                </c:pt>
                <c:pt idx="14">
                  <c:v>36.809100389999998</c:v>
                </c:pt>
                <c:pt idx="15">
                  <c:v>37.658986427999999</c:v>
                </c:pt>
                <c:pt idx="16">
                  <c:v>38.941543236000001</c:v>
                </c:pt>
                <c:pt idx="17">
                  <c:v>40.224100043999997</c:v>
                </c:pt>
                <c:pt idx="18">
                  <c:v>41.506656851999999</c:v>
                </c:pt>
                <c:pt idx="19">
                  <c:v>41.993634059999998</c:v>
                </c:pt>
                <c:pt idx="20">
                  <c:v>42.241937387999997</c:v>
                </c:pt>
                <c:pt idx="21">
                  <c:v>42.490240716000002</c:v>
                </c:pt>
                <c:pt idx="22">
                  <c:v>42.738544044000001</c:v>
                </c:pt>
                <c:pt idx="23">
                  <c:v>43.411653563999998</c:v>
                </c:pt>
                <c:pt idx="24">
                  <c:v>44.120163599999998</c:v>
                </c:pt>
                <c:pt idx="25">
                  <c:v>44.828673635999998</c:v>
                </c:pt>
                <c:pt idx="26">
                  <c:v>45.523401821999997</c:v>
                </c:pt>
                <c:pt idx="27">
                  <c:v>46.052747807999999</c:v>
                </c:pt>
                <c:pt idx="28">
                  <c:v>46.582093794000002</c:v>
                </c:pt>
                <c:pt idx="29">
                  <c:v>47.111439779999998</c:v>
                </c:pt>
                <c:pt idx="30">
                  <c:v>47.526791027999998</c:v>
                </c:pt>
                <c:pt idx="31">
                  <c:v>47.562159815999998</c:v>
                </c:pt>
                <c:pt idx="32">
                  <c:v>47.597528603999997</c:v>
                </c:pt>
                <c:pt idx="33">
                  <c:v>47.632897391999997</c:v>
                </c:pt>
                <c:pt idx="34">
                  <c:v>48.010413</c:v>
                </c:pt>
                <c:pt idx="35">
                  <c:v>48.935363520000003</c:v>
                </c:pt>
                <c:pt idx="36">
                  <c:v>49.860314039999999</c:v>
                </c:pt>
                <c:pt idx="37">
                  <c:v>50.785264560000002</c:v>
                </c:pt>
                <c:pt idx="38">
                  <c:v>51.287788487999997</c:v>
                </c:pt>
                <c:pt idx="39">
                  <c:v>51.428232479999998</c:v>
                </c:pt>
                <c:pt idx="40">
                  <c:v>51.568676472</c:v>
                </c:pt>
                <c:pt idx="41">
                  <c:v>51.709120464000002</c:v>
                </c:pt>
                <c:pt idx="42">
                  <c:v>51.924736019999997</c:v>
                </c:pt>
                <c:pt idx="43">
                  <c:v>52.173761159999998</c:v>
                </c:pt>
                <c:pt idx="44">
                  <c:v>52.422786299999999</c:v>
                </c:pt>
                <c:pt idx="45">
                  <c:v>52.671811439999999</c:v>
                </c:pt>
                <c:pt idx="46">
                  <c:v>52.798247519999997</c:v>
                </c:pt>
                <c:pt idx="47">
                  <c:v>52.90239468</c:v>
                </c:pt>
                <c:pt idx="48">
                  <c:v>53.006541839999997</c:v>
                </c:pt>
                <c:pt idx="49">
                  <c:v>53.110689000000001</c:v>
                </c:pt>
                <c:pt idx="50">
                  <c:v>53.49531168</c:v>
                </c:pt>
                <c:pt idx="51">
                  <c:v>53.87993436</c:v>
                </c:pt>
                <c:pt idx="52">
                  <c:v>54.26455704</c:v>
                </c:pt>
                <c:pt idx="53">
                  <c:v>54.599604720000002</c:v>
                </c:pt>
                <c:pt idx="54">
                  <c:v>54.661989900000002</c:v>
                </c:pt>
                <c:pt idx="55">
                  <c:v>54.724375080000002</c:v>
                </c:pt>
                <c:pt idx="56">
                  <c:v>54.786760260000001</c:v>
                </c:pt>
                <c:pt idx="57">
                  <c:v>54.87103776</c:v>
                </c:pt>
                <c:pt idx="58">
                  <c:v>55.004572979999999</c:v>
                </c:pt>
                <c:pt idx="59">
                  <c:v>55.138108199999998</c:v>
                </c:pt>
                <c:pt idx="60">
                  <c:v>55.271643419999997</c:v>
                </c:pt>
                <c:pt idx="61">
                  <c:v>55.726662599999997</c:v>
                </c:pt>
                <c:pt idx="62">
                  <c:v>56.556746400000002</c:v>
                </c:pt>
                <c:pt idx="63">
                  <c:v>57.386830199999999</c:v>
                </c:pt>
                <c:pt idx="64">
                  <c:v>58.216914000000003</c:v>
                </c:pt>
                <c:pt idx="65">
                  <c:v>59.2833714</c:v>
                </c:pt>
                <c:pt idx="66">
                  <c:v>60.497562299999998</c:v>
                </c:pt>
                <c:pt idx="67">
                  <c:v>61.711753199999997</c:v>
                </c:pt>
                <c:pt idx="68">
                  <c:v>62.925944100000002</c:v>
                </c:pt>
                <c:pt idx="69">
                  <c:v>64.959114</c:v>
                </c:pt>
                <c:pt idx="70">
                  <c:v>67.237977599999994</c:v>
                </c:pt>
                <c:pt idx="71">
                  <c:v>69.516841200000002</c:v>
                </c:pt>
                <c:pt idx="72">
                  <c:v>71.795704799999996</c:v>
                </c:pt>
                <c:pt idx="73">
                  <c:v>71.974809359999995</c:v>
                </c:pt>
                <c:pt idx="74">
                  <c:v>71.978933999999995</c:v>
                </c:pt>
                <c:pt idx="75">
                  <c:v>71.983058639999996</c:v>
                </c:pt>
                <c:pt idx="76">
                  <c:v>72.279556799999995</c:v>
                </c:pt>
                <c:pt idx="77">
                  <c:v>76.0845372</c:v>
                </c:pt>
                <c:pt idx="78">
                  <c:v>79.889517600000005</c:v>
                </c:pt>
                <c:pt idx="79">
                  <c:v>83.694497999999996</c:v>
                </c:pt>
                <c:pt idx="80">
                  <c:v>86.634136859999998</c:v>
                </c:pt>
                <c:pt idx="81">
                  <c:v>86.68930392</c:v>
                </c:pt>
                <c:pt idx="82">
                  <c:v>86.744470980000003</c:v>
                </c:pt>
                <c:pt idx="83">
                  <c:v>86.799638040000005</c:v>
                </c:pt>
                <c:pt idx="84">
                  <c:v>88.037069700000004</c:v>
                </c:pt>
                <c:pt idx="85">
                  <c:v>91.166124719999999</c:v>
                </c:pt>
                <c:pt idx="86">
                  <c:v>94.295179739999995</c:v>
                </c:pt>
                <c:pt idx="87">
                  <c:v>97.424234760000004</c:v>
                </c:pt>
                <c:pt idx="88">
                  <c:v>98.967246720000006</c:v>
                </c:pt>
                <c:pt idx="89">
                  <c:v>99.150793199999995</c:v>
                </c:pt>
                <c:pt idx="90">
                  <c:v>99.334339679999999</c:v>
                </c:pt>
                <c:pt idx="91">
                  <c:v>99.517886160000003</c:v>
                </c:pt>
                <c:pt idx="92">
                  <c:v>101.0752947</c:v>
                </c:pt>
                <c:pt idx="93">
                  <c:v>103.24330860000001</c:v>
                </c:pt>
                <c:pt idx="94">
                  <c:v>105.4113225</c:v>
                </c:pt>
                <c:pt idx="95">
                  <c:v>107.5793364</c:v>
                </c:pt>
                <c:pt idx="96">
                  <c:v>120.33101790000001</c:v>
                </c:pt>
                <c:pt idx="97">
                  <c:v>135.00700259999999</c:v>
                </c:pt>
                <c:pt idx="98">
                  <c:v>149.68298730000001</c:v>
                </c:pt>
                <c:pt idx="99">
                  <c:v>164.35897199999999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E-9749-A4AF-7743584FFE63}"/>
            </c:ext>
          </c:extLst>
        </c:ser>
        <c:ser>
          <c:idx val="3"/>
          <c:order val="3"/>
          <c:tx>
            <c:strRef>
              <c:f>'Inflow Quantiles - Seasonal'!$A$46</c:f>
              <c:strCache>
                <c:ptCount val="1"/>
                <c:pt idx="0">
                  <c:v>BelowWoodruff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'Inflow Quantiles - Seasonal'!$B$46:$CW$46</c:f>
              <c:numCache>
                <c:formatCode>0.00</c:formatCode>
                <c:ptCount val="100"/>
                <c:pt idx="0">
                  <c:v>3.0843669251999999</c:v>
                </c:pt>
                <c:pt idx="1">
                  <c:v>3.2658201504000002</c:v>
                </c:pt>
                <c:pt idx="2">
                  <c:v>3.4472733756</c:v>
                </c:pt>
                <c:pt idx="3">
                  <c:v>3.6209151672000002</c:v>
                </c:pt>
                <c:pt idx="4">
                  <c:v>3.7515940739999998</c:v>
                </c:pt>
                <c:pt idx="5">
                  <c:v>3.8822729807999998</c:v>
                </c:pt>
                <c:pt idx="6">
                  <c:v>4.0129518875999999</c:v>
                </c:pt>
                <c:pt idx="7">
                  <c:v>4.1394871175999999</c:v>
                </c:pt>
                <c:pt idx="8">
                  <c:v>4.2566990748000002</c:v>
                </c:pt>
                <c:pt idx="9">
                  <c:v>4.3739110319999996</c:v>
                </c:pt>
                <c:pt idx="10">
                  <c:v>4.4911229892</c:v>
                </c:pt>
                <c:pt idx="11">
                  <c:v>4.5834252936000004</c:v>
                </c:pt>
                <c:pt idx="12">
                  <c:v>4.6466663364</c:v>
                </c:pt>
                <c:pt idx="13">
                  <c:v>4.7099073791999997</c:v>
                </c:pt>
                <c:pt idx="14">
                  <c:v>4.7731484220000002</c:v>
                </c:pt>
                <c:pt idx="15">
                  <c:v>4.8088432151999996</c:v>
                </c:pt>
                <c:pt idx="16">
                  <c:v>4.8273216023999996</c:v>
                </c:pt>
                <c:pt idx="17">
                  <c:v>4.8457999895999997</c:v>
                </c:pt>
                <c:pt idx="18">
                  <c:v>4.8642783767999997</c:v>
                </c:pt>
                <c:pt idx="19">
                  <c:v>4.8790207920000004</c:v>
                </c:pt>
                <c:pt idx="20">
                  <c:v>4.8926424156000001</c:v>
                </c:pt>
                <c:pt idx="21">
                  <c:v>4.9062640391999999</c:v>
                </c:pt>
                <c:pt idx="22">
                  <c:v>4.9198856627999996</c:v>
                </c:pt>
                <c:pt idx="23">
                  <c:v>4.9308992448</c:v>
                </c:pt>
                <c:pt idx="24">
                  <c:v>4.9416954899999999</c:v>
                </c:pt>
                <c:pt idx="25">
                  <c:v>4.9524917351999997</c:v>
                </c:pt>
                <c:pt idx="26">
                  <c:v>4.9631753459999999</c:v>
                </c:pt>
                <c:pt idx="27">
                  <c:v>4.9725073440000003</c:v>
                </c:pt>
                <c:pt idx="28">
                  <c:v>4.9818393419999998</c:v>
                </c:pt>
                <c:pt idx="29">
                  <c:v>4.9911713400000002</c:v>
                </c:pt>
                <c:pt idx="30">
                  <c:v>5.0013005039999996</c:v>
                </c:pt>
                <c:pt idx="31">
                  <c:v>5.0140868879999996</c:v>
                </c:pt>
                <c:pt idx="32">
                  <c:v>5.0268732719999996</c:v>
                </c:pt>
                <c:pt idx="33">
                  <c:v>5.0396596560000004</c:v>
                </c:pt>
                <c:pt idx="34">
                  <c:v>5.1334912499999996</c:v>
                </c:pt>
                <c:pt idx="35">
                  <c:v>5.3569951800000002</c:v>
                </c:pt>
                <c:pt idx="36">
                  <c:v>5.5804991099999999</c:v>
                </c:pt>
                <c:pt idx="37">
                  <c:v>5.8040030399999996</c:v>
                </c:pt>
                <c:pt idx="38">
                  <c:v>5.9393404103999998</c:v>
                </c:pt>
                <c:pt idx="39">
                  <c:v>5.9991064439999997</c:v>
                </c:pt>
                <c:pt idx="40">
                  <c:v>6.0588724775999996</c:v>
                </c:pt>
                <c:pt idx="41">
                  <c:v>6.1186385112000004</c:v>
                </c:pt>
                <c:pt idx="42">
                  <c:v>6.1891341612000002</c:v>
                </c:pt>
                <c:pt idx="43">
                  <c:v>6.2643985296000002</c:v>
                </c:pt>
                <c:pt idx="44">
                  <c:v>6.3396628980000003</c:v>
                </c:pt>
                <c:pt idx="45">
                  <c:v>6.4149272664000003</c:v>
                </c:pt>
                <c:pt idx="46">
                  <c:v>6.4672530840000002</c:v>
                </c:pt>
                <c:pt idx="47">
                  <c:v>6.5154082559999997</c:v>
                </c:pt>
                <c:pt idx="48">
                  <c:v>6.5635634280000001</c:v>
                </c:pt>
                <c:pt idx="49">
                  <c:v>6.6117185999999997</c:v>
                </c:pt>
                <c:pt idx="50">
                  <c:v>6.6394052459999999</c:v>
                </c:pt>
                <c:pt idx="51">
                  <c:v>6.6670918920000002</c:v>
                </c:pt>
                <c:pt idx="52">
                  <c:v>6.6947785379999996</c:v>
                </c:pt>
                <c:pt idx="53">
                  <c:v>6.7325047164000003</c:v>
                </c:pt>
                <c:pt idx="54">
                  <c:v>6.8254483229999998</c:v>
                </c:pt>
                <c:pt idx="55">
                  <c:v>6.9183919296000003</c:v>
                </c:pt>
                <c:pt idx="56">
                  <c:v>7.0113355361999998</c:v>
                </c:pt>
                <c:pt idx="57">
                  <c:v>7.1058591972</c:v>
                </c:pt>
                <c:pt idx="58">
                  <c:v>7.2039379806000001</c:v>
                </c:pt>
                <c:pt idx="59">
                  <c:v>7.3020167640000002</c:v>
                </c:pt>
                <c:pt idx="60">
                  <c:v>7.4000955474000003</c:v>
                </c:pt>
                <c:pt idx="61">
                  <c:v>7.6759709039999997</c:v>
                </c:pt>
                <c:pt idx="62">
                  <c:v>8.1592755960000005</c:v>
                </c:pt>
                <c:pt idx="63">
                  <c:v>8.6425802879999996</c:v>
                </c:pt>
                <c:pt idx="64">
                  <c:v>9.1258849800000093</c:v>
                </c:pt>
                <c:pt idx="65">
                  <c:v>9.4796759759999993</c:v>
                </c:pt>
                <c:pt idx="66">
                  <c:v>9.7525209119999996</c:v>
                </c:pt>
                <c:pt idx="67">
                  <c:v>10.025365848</c:v>
                </c:pt>
                <c:pt idx="68">
                  <c:v>10.298210784</c:v>
                </c:pt>
                <c:pt idx="69">
                  <c:v>10.50403032</c:v>
                </c:pt>
                <c:pt idx="70">
                  <c:v>10.689742236000001</c:v>
                </c:pt>
                <c:pt idx="71">
                  <c:v>10.875454152</c:v>
                </c:pt>
                <c:pt idx="72">
                  <c:v>11.061166068</c:v>
                </c:pt>
                <c:pt idx="73">
                  <c:v>11.108670816</c:v>
                </c:pt>
                <c:pt idx="74">
                  <c:v>11.1446583</c:v>
                </c:pt>
                <c:pt idx="75">
                  <c:v>11.180645783999999</c:v>
                </c:pt>
                <c:pt idx="76">
                  <c:v>11.246227559999999</c:v>
                </c:pt>
                <c:pt idx="77">
                  <c:v>11.666940840000001</c:v>
                </c:pt>
                <c:pt idx="78">
                  <c:v>12.08765412</c:v>
                </c:pt>
                <c:pt idx="79">
                  <c:v>12.508367399999999</c:v>
                </c:pt>
                <c:pt idx="80">
                  <c:v>12.972389400000001</c:v>
                </c:pt>
                <c:pt idx="81">
                  <c:v>13.580773799999999</c:v>
                </c:pt>
                <c:pt idx="82">
                  <c:v>14.1891582</c:v>
                </c:pt>
                <c:pt idx="83">
                  <c:v>14.7975426</c:v>
                </c:pt>
                <c:pt idx="84">
                  <c:v>15.824240850000001</c:v>
                </c:pt>
                <c:pt idx="85">
                  <c:v>17.520241259999999</c:v>
                </c:pt>
                <c:pt idx="86">
                  <c:v>19.216241669999999</c:v>
                </c:pt>
                <c:pt idx="87">
                  <c:v>20.912242079999999</c:v>
                </c:pt>
                <c:pt idx="88">
                  <c:v>21.973769742000002</c:v>
                </c:pt>
                <c:pt idx="89">
                  <c:v>22.491463620000001</c:v>
                </c:pt>
                <c:pt idx="90">
                  <c:v>23.009157498</c:v>
                </c:pt>
                <c:pt idx="91">
                  <c:v>23.526851376</c:v>
                </c:pt>
                <c:pt idx="92">
                  <c:v>26.229517770000001</c:v>
                </c:pt>
                <c:pt idx="93">
                  <c:v>29.90328306</c:v>
                </c:pt>
                <c:pt idx="94">
                  <c:v>33.577048349999998</c:v>
                </c:pt>
                <c:pt idx="95">
                  <c:v>37.250813639999997</c:v>
                </c:pt>
                <c:pt idx="96">
                  <c:v>39.978985379999997</c:v>
                </c:pt>
                <c:pt idx="97">
                  <c:v>42.535231019999998</c:v>
                </c:pt>
                <c:pt idx="98">
                  <c:v>45.091476659999998</c:v>
                </c:pt>
                <c:pt idx="99">
                  <c:v>47.647722299999998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E-9749-A4AF-7743584FFE63}"/>
            </c:ext>
          </c:extLst>
        </c:ser>
        <c:ser>
          <c:idx val="4"/>
          <c:order val="4"/>
          <c:tx>
            <c:strRef>
              <c:f>'Inflow Quantiles - Seasonal'!$A$47</c:f>
              <c:strCache>
                <c:ptCount val="1"/>
                <c:pt idx="0">
                  <c:v>BSFRIver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'Inflow Quantiles - Seasonal'!$B$47:$CW$47</c:f>
              <c:numCache>
                <c:formatCode>0.00</c:formatCode>
                <c:ptCount val="100"/>
                <c:pt idx="0">
                  <c:v>4.0949445750000004</c:v>
                </c:pt>
                <c:pt idx="1">
                  <c:v>7.9777081499999998</c:v>
                </c:pt>
                <c:pt idx="2">
                  <c:v>11.860471725</c:v>
                </c:pt>
                <c:pt idx="3">
                  <c:v>15.7432353</c:v>
                </c:pt>
                <c:pt idx="4">
                  <c:v>16.2921297</c:v>
                </c:pt>
                <c:pt idx="5">
                  <c:v>16.841024099999998</c:v>
                </c:pt>
                <c:pt idx="6">
                  <c:v>17.3899185</c:v>
                </c:pt>
                <c:pt idx="7">
                  <c:v>17.938812899999999</c:v>
                </c:pt>
                <c:pt idx="8">
                  <c:v>18.151539225</c:v>
                </c:pt>
                <c:pt idx="9">
                  <c:v>18.364265549999999</c:v>
                </c:pt>
                <c:pt idx="10">
                  <c:v>18.576991875000001</c:v>
                </c:pt>
                <c:pt idx="11">
                  <c:v>18.789718199999999</c:v>
                </c:pt>
                <c:pt idx="12">
                  <c:v>18.891049500000001</c:v>
                </c:pt>
                <c:pt idx="13">
                  <c:v>18.992380799999999</c:v>
                </c:pt>
                <c:pt idx="14">
                  <c:v>19.093712100000001</c:v>
                </c:pt>
                <c:pt idx="15">
                  <c:v>19.195043399999999</c:v>
                </c:pt>
                <c:pt idx="16">
                  <c:v>19.396070025</c:v>
                </c:pt>
                <c:pt idx="17">
                  <c:v>19.597096650000001</c:v>
                </c:pt>
                <c:pt idx="18">
                  <c:v>19.798123274999998</c:v>
                </c:pt>
                <c:pt idx="19">
                  <c:v>19.999149899999999</c:v>
                </c:pt>
                <c:pt idx="20">
                  <c:v>20.152584525000002</c:v>
                </c:pt>
                <c:pt idx="21">
                  <c:v>20.306019150000001</c:v>
                </c:pt>
                <c:pt idx="22">
                  <c:v>20.459453775</c:v>
                </c:pt>
                <c:pt idx="23">
                  <c:v>20.612888399999999</c:v>
                </c:pt>
                <c:pt idx="24">
                  <c:v>20.626918125</c:v>
                </c:pt>
                <c:pt idx="25">
                  <c:v>20.64094785</c:v>
                </c:pt>
                <c:pt idx="26">
                  <c:v>20.654977575</c:v>
                </c:pt>
                <c:pt idx="27">
                  <c:v>20.669007300000001</c:v>
                </c:pt>
                <c:pt idx="28">
                  <c:v>20.703015749999999</c:v>
                </c:pt>
                <c:pt idx="29">
                  <c:v>20.7370242</c:v>
                </c:pt>
                <c:pt idx="30">
                  <c:v>20.771032649999999</c:v>
                </c:pt>
                <c:pt idx="31">
                  <c:v>20.8050411</c:v>
                </c:pt>
                <c:pt idx="32">
                  <c:v>20.824672799999998</c:v>
                </c:pt>
                <c:pt idx="33">
                  <c:v>20.8443045</c:v>
                </c:pt>
                <c:pt idx="34">
                  <c:v>20.863936200000001</c:v>
                </c:pt>
                <c:pt idx="35">
                  <c:v>20.883567899999999</c:v>
                </c:pt>
                <c:pt idx="36">
                  <c:v>20.928036675000001</c:v>
                </c:pt>
                <c:pt idx="37">
                  <c:v>20.97250545</c:v>
                </c:pt>
                <c:pt idx="38">
                  <c:v>21.016974224999998</c:v>
                </c:pt>
                <c:pt idx="39">
                  <c:v>21.061443000000001</c:v>
                </c:pt>
                <c:pt idx="40">
                  <c:v>21.541477725</c:v>
                </c:pt>
                <c:pt idx="41">
                  <c:v>22.021512449999999</c:v>
                </c:pt>
                <c:pt idx="42">
                  <c:v>22.501547174999999</c:v>
                </c:pt>
                <c:pt idx="43">
                  <c:v>22.981581899999998</c:v>
                </c:pt>
                <c:pt idx="44">
                  <c:v>23.2024881</c:v>
                </c:pt>
                <c:pt idx="45">
                  <c:v>23.423394299999998</c:v>
                </c:pt>
                <c:pt idx="46">
                  <c:v>23.6443005</c:v>
                </c:pt>
                <c:pt idx="47">
                  <c:v>23.865206700000002</c:v>
                </c:pt>
                <c:pt idx="48">
                  <c:v>24.093995325000002</c:v>
                </c:pt>
                <c:pt idx="49">
                  <c:v>24.322783950000002</c:v>
                </c:pt>
                <c:pt idx="50">
                  <c:v>24.551572575000002</c:v>
                </c:pt>
                <c:pt idx="51">
                  <c:v>24.780361200000002</c:v>
                </c:pt>
                <c:pt idx="52">
                  <c:v>25.024765949999999</c:v>
                </c:pt>
                <c:pt idx="53">
                  <c:v>25.2691707</c:v>
                </c:pt>
                <c:pt idx="54">
                  <c:v>25.513575450000001</c:v>
                </c:pt>
                <c:pt idx="55">
                  <c:v>25.757980199999999</c:v>
                </c:pt>
                <c:pt idx="56">
                  <c:v>25.816776149999999</c:v>
                </c:pt>
                <c:pt idx="57">
                  <c:v>25.875572099999999</c:v>
                </c:pt>
                <c:pt idx="58">
                  <c:v>25.93436805</c:v>
                </c:pt>
                <c:pt idx="59">
                  <c:v>25.993164</c:v>
                </c:pt>
                <c:pt idx="60">
                  <c:v>26.06623755</c:v>
                </c:pt>
                <c:pt idx="61">
                  <c:v>26.1393111</c:v>
                </c:pt>
                <c:pt idx="62">
                  <c:v>26.212384650000001</c:v>
                </c:pt>
                <c:pt idx="63">
                  <c:v>26.285458200000001</c:v>
                </c:pt>
                <c:pt idx="64">
                  <c:v>26.3140134</c:v>
                </c:pt>
                <c:pt idx="65">
                  <c:v>26.3425686</c:v>
                </c:pt>
                <c:pt idx="66">
                  <c:v>26.371123799999999</c:v>
                </c:pt>
                <c:pt idx="67">
                  <c:v>26.399678999999999</c:v>
                </c:pt>
                <c:pt idx="68">
                  <c:v>27.343289550000001</c:v>
                </c:pt>
                <c:pt idx="69">
                  <c:v>28.2869001</c:v>
                </c:pt>
                <c:pt idx="70">
                  <c:v>29.230510649999999</c:v>
                </c:pt>
                <c:pt idx="71">
                  <c:v>30.174121199999998</c:v>
                </c:pt>
                <c:pt idx="72">
                  <c:v>30.520799175000001</c:v>
                </c:pt>
                <c:pt idx="73">
                  <c:v>30.867477149999999</c:v>
                </c:pt>
                <c:pt idx="74">
                  <c:v>31.214155125000001</c:v>
                </c:pt>
                <c:pt idx="75">
                  <c:v>31.5608331</c:v>
                </c:pt>
                <c:pt idx="76">
                  <c:v>31.630089375000001</c:v>
                </c:pt>
                <c:pt idx="77">
                  <c:v>31.699345650000001</c:v>
                </c:pt>
                <c:pt idx="78">
                  <c:v>31.768601924999999</c:v>
                </c:pt>
                <c:pt idx="79">
                  <c:v>31.837858199999999</c:v>
                </c:pt>
                <c:pt idx="80">
                  <c:v>32.148048975000002</c:v>
                </c:pt>
                <c:pt idx="81">
                  <c:v>32.458239749999997</c:v>
                </c:pt>
                <c:pt idx="82">
                  <c:v>32.768430524999999</c:v>
                </c:pt>
                <c:pt idx="83">
                  <c:v>33.078621300000002</c:v>
                </c:pt>
                <c:pt idx="84">
                  <c:v>33.640206900000003</c:v>
                </c:pt>
                <c:pt idx="85">
                  <c:v>34.201792500000003</c:v>
                </c:pt>
                <c:pt idx="86">
                  <c:v>34.763378099999997</c:v>
                </c:pt>
                <c:pt idx="87">
                  <c:v>35.324963699999998</c:v>
                </c:pt>
                <c:pt idx="88">
                  <c:v>36.528991724999997</c:v>
                </c:pt>
                <c:pt idx="89">
                  <c:v>37.733019749999997</c:v>
                </c:pt>
                <c:pt idx="90">
                  <c:v>38.937047775000003</c:v>
                </c:pt>
                <c:pt idx="91">
                  <c:v>40.141075800000003</c:v>
                </c:pt>
                <c:pt idx="92">
                  <c:v>42.0324612</c:v>
                </c:pt>
                <c:pt idx="93">
                  <c:v>43.923846599999997</c:v>
                </c:pt>
                <c:pt idx="94">
                  <c:v>45.815232000000002</c:v>
                </c:pt>
                <c:pt idx="95">
                  <c:v>47.706617399999999</c:v>
                </c:pt>
                <c:pt idx="96">
                  <c:v>48.323231249999999</c:v>
                </c:pt>
                <c:pt idx="97">
                  <c:v>48.939845099999999</c:v>
                </c:pt>
                <c:pt idx="98">
                  <c:v>49.55645895</c:v>
                </c:pt>
                <c:pt idx="99">
                  <c:v>50.1730728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E-9749-A4AF-7743584FFE63}"/>
            </c:ext>
          </c:extLst>
        </c:ser>
        <c:ser>
          <c:idx val="5"/>
          <c:order val="5"/>
          <c:tx>
            <c:strRef>
              <c:f>'Inflow Quantiles - Seasonal'!$A$48</c:f>
              <c:strCache>
                <c:ptCount val="1"/>
                <c:pt idx="0">
                  <c:v>Corrine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'Inflow Quantiles - Seasonal'!$B$48:$CW$48</c:f>
              <c:numCache>
                <c:formatCode>0.00</c:formatCode>
                <c:ptCount val="100"/>
                <c:pt idx="0">
                  <c:v>192.77401355999999</c:v>
                </c:pt>
                <c:pt idx="1">
                  <c:v>222.41058312000001</c:v>
                </c:pt>
                <c:pt idx="2">
                  <c:v>252.04715268000001</c:v>
                </c:pt>
                <c:pt idx="3">
                  <c:v>277.73017548000001</c:v>
                </c:pt>
                <c:pt idx="4">
                  <c:v>281.66869109999999</c:v>
                </c:pt>
                <c:pt idx="5">
                  <c:v>285.60720672000002</c:v>
                </c:pt>
                <c:pt idx="6">
                  <c:v>289.54572234</c:v>
                </c:pt>
                <c:pt idx="7">
                  <c:v>292.98150779999997</c:v>
                </c:pt>
                <c:pt idx="8">
                  <c:v>295.2861504</c:v>
                </c:pt>
                <c:pt idx="9">
                  <c:v>297.59079300000002</c:v>
                </c:pt>
                <c:pt idx="10">
                  <c:v>299.89543559999998</c:v>
                </c:pt>
                <c:pt idx="11">
                  <c:v>302.19341531999999</c:v>
                </c:pt>
                <c:pt idx="12">
                  <c:v>304.48362168</c:v>
                </c:pt>
                <c:pt idx="13">
                  <c:v>306.77382804000001</c:v>
                </c:pt>
                <c:pt idx="14">
                  <c:v>309.06403440000003</c:v>
                </c:pt>
                <c:pt idx="15">
                  <c:v>310.39827611999999</c:v>
                </c:pt>
                <c:pt idx="16">
                  <c:v>311.13503994000001</c:v>
                </c:pt>
                <c:pt idx="17">
                  <c:v>311.87180375999998</c:v>
                </c:pt>
                <c:pt idx="18">
                  <c:v>312.60856758</c:v>
                </c:pt>
                <c:pt idx="19">
                  <c:v>312.91105440000001</c:v>
                </c:pt>
                <c:pt idx="20">
                  <c:v>313.08325811999998</c:v>
                </c:pt>
                <c:pt idx="21">
                  <c:v>313.25546184000001</c:v>
                </c:pt>
                <c:pt idx="22">
                  <c:v>313.42766555999998</c:v>
                </c:pt>
                <c:pt idx="23">
                  <c:v>314.01867887999998</c:v>
                </c:pt>
                <c:pt idx="24">
                  <c:v>314.64459299999999</c:v>
                </c:pt>
                <c:pt idx="25">
                  <c:v>315.27050711999999</c:v>
                </c:pt>
                <c:pt idx="26">
                  <c:v>316.03324823999998</c:v>
                </c:pt>
                <c:pt idx="27">
                  <c:v>318.43791335999998</c:v>
                </c:pt>
                <c:pt idx="28">
                  <c:v>320.84257847999999</c:v>
                </c:pt>
                <c:pt idx="29">
                  <c:v>323.24724359999999</c:v>
                </c:pt>
                <c:pt idx="30">
                  <c:v>325.13077632</c:v>
                </c:pt>
                <c:pt idx="31">
                  <c:v>325.27720104000002</c:v>
                </c:pt>
                <c:pt idx="32">
                  <c:v>325.42362575999999</c:v>
                </c:pt>
                <c:pt idx="33">
                  <c:v>325.57005048000002</c:v>
                </c:pt>
                <c:pt idx="34">
                  <c:v>326.32230153</c:v>
                </c:pt>
                <c:pt idx="35">
                  <c:v>328.04387470799998</c:v>
                </c:pt>
                <c:pt idx="36">
                  <c:v>329.765447886</c:v>
                </c:pt>
                <c:pt idx="37">
                  <c:v>331.48702106399998</c:v>
                </c:pt>
                <c:pt idx="38">
                  <c:v>333.19326961799999</c:v>
                </c:pt>
                <c:pt idx="39">
                  <c:v>334.88638278000002</c:v>
                </c:pt>
                <c:pt idx="40">
                  <c:v>336.57949594199999</c:v>
                </c:pt>
                <c:pt idx="41">
                  <c:v>338.27260910400003</c:v>
                </c:pt>
                <c:pt idx="42">
                  <c:v>339.26008758</c:v>
                </c:pt>
                <c:pt idx="43">
                  <c:v>339.93395063999998</c:v>
                </c:pt>
                <c:pt idx="44">
                  <c:v>340.60781370000001</c:v>
                </c:pt>
                <c:pt idx="45">
                  <c:v>341.28167675999998</c:v>
                </c:pt>
                <c:pt idx="46">
                  <c:v>346.78057541999999</c:v>
                </c:pt>
                <c:pt idx="47">
                  <c:v>353.15675327999998</c:v>
                </c:pt>
                <c:pt idx="48">
                  <c:v>359.53293114000002</c:v>
                </c:pt>
                <c:pt idx="49">
                  <c:v>365.909109</c:v>
                </c:pt>
                <c:pt idx="50">
                  <c:v>372.45749058000001</c:v>
                </c:pt>
                <c:pt idx="51">
                  <c:v>379.00587216000002</c:v>
                </c:pt>
                <c:pt idx="52">
                  <c:v>385.55425373999998</c:v>
                </c:pt>
                <c:pt idx="53">
                  <c:v>391.80002952000001</c:v>
                </c:pt>
                <c:pt idx="54">
                  <c:v>396.3814734</c:v>
                </c:pt>
                <c:pt idx="55">
                  <c:v>400.96291728</c:v>
                </c:pt>
                <c:pt idx="56">
                  <c:v>405.54436115999999</c:v>
                </c:pt>
                <c:pt idx="57">
                  <c:v>408.99977832000002</c:v>
                </c:pt>
                <c:pt idx="58">
                  <c:v>409.92163535999998</c:v>
                </c:pt>
                <c:pt idx="59">
                  <c:v>410.8434924</c:v>
                </c:pt>
                <c:pt idx="60">
                  <c:v>411.76534944000002</c:v>
                </c:pt>
                <c:pt idx="61">
                  <c:v>418.12078511999999</c:v>
                </c:pt>
                <c:pt idx="62">
                  <c:v>430.81539587999998</c:v>
                </c:pt>
                <c:pt idx="63">
                  <c:v>443.51000663999997</c:v>
                </c:pt>
                <c:pt idx="64">
                  <c:v>456.20461740000002</c:v>
                </c:pt>
                <c:pt idx="65">
                  <c:v>461.80357823999998</c:v>
                </c:pt>
                <c:pt idx="66">
                  <c:v>462.96775788000002</c:v>
                </c:pt>
                <c:pt idx="67">
                  <c:v>464.13193752000001</c:v>
                </c:pt>
                <c:pt idx="68">
                  <c:v>465.29611715999999</c:v>
                </c:pt>
                <c:pt idx="69">
                  <c:v>474.7643076</c:v>
                </c:pt>
                <c:pt idx="70">
                  <c:v>486.72370128</c:v>
                </c:pt>
                <c:pt idx="71">
                  <c:v>498.68309496000001</c:v>
                </c:pt>
                <c:pt idx="72">
                  <c:v>510.64248864000001</c:v>
                </c:pt>
                <c:pt idx="73">
                  <c:v>514.93481111999995</c:v>
                </c:pt>
                <c:pt idx="74">
                  <c:v>518.588211</c:v>
                </c:pt>
                <c:pt idx="75">
                  <c:v>522.24161088000005</c:v>
                </c:pt>
                <c:pt idx="76">
                  <c:v>525.77963982000006</c:v>
                </c:pt>
                <c:pt idx="77">
                  <c:v>527.93321748000005</c:v>
                </c:pt>
                <c:pt idx="78">
                  <c:v>530.08679514000005</c:v>
                </c:pt>
                <c:pt idx="79">
                  <c:v>532.24037280000005</c:v>
                </c:pt>
                <c:pt idx="80">
                  <c:v>535.68773897999995</c:v>
                </c:pt>
                <c:pt idx="81">
                  <c:v>543.44773355999996</c:v>
                </c:pt>
                <c:pt idx="82">
                  <c:v>551.20772813999997</c:v>
                </c:pt>
                <c:pt idx="83">
                  <c:v>558.96772271999998</c:v>
                </c:pt>
                <c:pt idx="84">
                  <c:v>574.71325830000001</c:v>
                </c:pt>
                <c:pt idx="85">
                  <c:v>603.23565947999998</c:v>
                </c:pt>
                <c:pt idx="86">
                  <c:v>631.75806065999996</c:v>
                </c:pt>
                <c:pt idx="87">
                  <c:v>660.28046184000004</c:v>
                </c:pt>
                <c:pt idx="88">
                  <c:v>674.71920041999999</c:v>
                </c:pt>
                <c:pt idx="89">
                  <c:v>677.08622820000005</c:v>
                </c:pt>
                <c:pt idx="90">
                  <c:v>679.45325597999999</c:v>
                </c:pt>
                <c:pt idx="91">
                  <c:v>681.82028376000005</c:v>
                </c:pt>
                <c:pt idx="92">
                  <c:v>698.73904145999995</c:v>
                </c:pt>
                <c:pt idx="93">
                  <c:v>722.12523467999995</c:v>
                </c:pt>
                <c:pt idx="94">
                  <c:v>745.51142789999994</c:v>
                </c:pt>
                <c:pt idx="95">
                  <c:v>768.89762112000005</c:v>
                </c:pt>
                <c:pt idx="96">
                  <c:v>797.84176674000003</c:v>
                </c:pt>
                <c:pt idx="97">
                  <c:v>827.79644915999995</c:v>
                </c:pt>
                <c:pt idx="98">
                  <c:v>857.75113157999999</c:v>
                </c:pt>
                <c:pt idx="99">
                  <c:v>887.70581400000003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DE-9749-A4AF-7743584FFE63}"/>
            </c:ext>
          </c:extLst>
        </c:ser>
        <c:ser>
          <c:idx val="6"/>
          <c:order val="6"/>
          <c:tx>
            <c:strRef>
              <c:f>'Inflow Quantiles - Seasonal'!$A$49</c:f>
              <c:strCache>
                <c:ptCount val="1"/>
                <c:pt idx="0">
                  <c:v>Evanston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'Inflow Quantiles - Seasonal'!$B$49:$CW$49</c:f>
              <c:numCache>
                <c:formatCode>0.00</c:formatCode>
                <c:ptCount val="100"/>
                <c:pt idx="0">
                  <c:v>6.927176223</c:v>
                </c:pt>
                <c:pt idx="1">
                  <c:v>7.5952112459999999</c:v>
                </c:pt>
                <c:pt idx="2">
                  <c:v>8.2632462689999997</c:v>
                </c:pt>
                <c:pt idx="3">
                  <c:v>8.9312812919999995</c:v>
                </c:pt>
                <c:pt idx="4">
                  <c:v>9.1885973550000006</c:v>
                </c:pt>
                <c:pt idx="5">
                  <c:v>9.2268633060000003</c:v>
                </c:pt>
                <c:pt idx="6">
                  <c:v>9.2651292569999999</c:v>
                </c:pt>
                <c:pt idx="7">
                  <c:v>9.3033952079999995</c:v>
                </c:pt>
                <c:pt idx="8">
                  <c:v>9.3618024900000005</c:v>
                </c:pt>
                <c:pt idx="9">
                  <c:v>9.4662471000000004</c:v>
                </c:pt>
                <c:pt idx="10">
                  <c:v>9.5706917100000002</c:v>
                </c:pt>
                <c:pt idx="11">
                  <c:v>9.67513632</c:v>
                </c:pt>
                <c:pt idx="12">
                  <c:v>9.7795809299999998</c:v>
                </c:pt>
                <c:pt idx="13">
                  <c:v>9.8891734079999996</c:v>
                </c:pt>
                <c:pt idx="14">
                  <c:v>9.9989998799999995</c:v>
                </c:pt>
                <c:pt idx="15">
                  <c:v>10.108826351999999</c:v>
                </c:pt>
                <c:pt idx="16">
                  <c:v>10.218652823999999</c:v>
                </c:pt>
                <c:pt idx="17">
                  <c:v>10.658569476</c:v>
                </c:pt>
                <c:pt idx="18">
                  <c:v>11.310686958</c:v>
                </c:pt>
                <c:pt idx="19">
                  <c:v>11.962804439999999</c:v>
                </c:pt>
                <c:pt idx="20">
                  <c:v>12.614921922000001</c:v>
                </c:pt>
                <c:pt idx="21">
                  <c:v>13.141027685999999</c:v>
                </c:pt>
                <c:pt idx="22">
                  <c:v>13.310100249</c:v>
                </c:pt>
                <c:pt idx="23">
                  <c:v>13.479172812</c:v>
                </c:pt>
                <c:pt idx="24">
                  <c:v>13.648245375</c:v>
                </c:pt>
                <c:pt idx="25">
                  <c:v>13.817317938</c:v>
                </c:pt>
                <c:pt idx="26">
                  <c:v>13.873121541</c:v>
                </c:pt>
                <c:pt idx="27">
                  <c:v>13.918137624</c:v>
                </c:pt>
                <c:pt idx="28">
                  <c:v>13.963153707</c:v>
                </c:pt>
                <c:pt idx="29">
                  <c:v>14.00816979</c:v>
                </c:pt>
                <c:pt idx="30">
                  <c:v>14.075974509</c:v>
                </c:pt>
                <c:pt idx="31">
                  <c:v>14.161308948</c:v>
                </c:pt>
                <c:pt idx="32">
                  <c:v>14.246643387000001</c:v>
                </c:pt>
                <c:pt idx="33">
                  <c:v>14.331977825999999</c:v>
                </c:pt>
                <c:pt idx="34">
                  <c:v>14.484912735</c:v>
                </c:pt>
                <c:pt idx="35">
                  <c:v>14.881209336</c:v>
                </c:pt>
                <c:pt idx="36">
                  <c:v>15.277505937000001</c:v>
                </c:pt>
                <c:pt idx="37">
                  <c:v>15.673802538</c:v>
                </c:pt>
                <c:pt idx="38">
                  <c:v>16.070099139</c:v>
                </c:pt>
                <c:pt idx="39">
                  <c:v>16.230022139999999</c:v>
                </c:pt>
                <c:pt idx="40">
                  <c:v>16.354489100999999</c:v>
                </c:pt>
                <c:pt idx="41">
                  <c:v>16.478956062000002</c:v>
                </c:pt>
                <c:pt idx="42">
                  <c:v>16.603423023000001</c:v>
                </c:pt>
                <c:pt idx="43">
                  <c:v>16.781918802</c:v>
                </c:pt>
                <c:pt idx="44">
                  <c:v>17.009940997499999</c:v>
                </c:pt>
                <c:pt idx="45">
                  <c:v>17.237963192999999</c:v>
                </c:pt>
                <c:pt idx="46">
                  <c:v>17.465985388499998</c:v>
                </c:pt>
                <c:pt idx="47">
                  <c:v>17.659638227999999</c:v>
                </c:pt>
                <c:pt idx="48">
                  <c:v>17.6900366265</c:v>
                </c:pt>
                <c:pt idx="49">
                  <c:v>17.720435025</c:v>
                </c:pt>
                <c:pt idx="50">
                  <c:v>17.750833423500001</c:v>
                </c:pt>
                <c:pt idx="51">
                  <c:v>17.781231821999999</c:v>
                </c:pt>
                <c:pt idx="52">
                  <c:v>18.183257309999998</c:v>
                </c:pt>
                <c:pt idx="53">
                  <c:v>18.663520080000001</c:v>
                </c:pt>
                <c:pt idx="54">
                  <c:v>19.143782850000001</c:v>
                </c:pt>
                <c:pt idx="55">
                  <c:v>19.62404562</c:v>
                </c:pt>
                <c:pt idx="56">
                  <c:v>19.995461519999999</c:v>
                </c:pt>
                <c:pt idx="57">
                  <c:v>20.248135380000001</c:v>
                </c:pt>
                <c:pt idx="58">
                  <c:v>20.500809239999999</c:v>
                </c:pt>
                <c:pt idx="59">
                  <c:v>20.7534831</c:v>
                </c:pt>
                <c:pt idx="60">
                  <c:v>20.984460957</c:v>
                </c:pt>
                <c:pt idx="61">
                  <c:v>21.070798794000002</c:v>
                </c:pt>
                <c:pt idx="62">
                  <c:v>21.157136631</c:v>
                </c:pt>
                <c:pt idx="63">
                  <c:v>21.243474467999999</c:v>
                </c:pt>
                <c:pt idx="64">
                  <c:v>21.329812305000001</c:v>
                </c:pt>
                <c:pt idx="65">
                  <c:v>21.625531146</c:v>
                </c:pt>
                <c:pt idx="66">
                  <c:v>21.979411377000002</c:v>
                </c:pt>
                <c:pt idx="67">
                  <c:v>22.333291608</c:v>
                </c:pt>
                <c:pt idx="68">
                  <c:v>22.687171839000001</c:v>
                </c:pt>
                <c:pt idx="69">
                  <c:v>22.933375170000001</c:v>
                </c:pt>
                <c:pt idx="70">
                  <c:v>23.039598530999999</c:v>
                </c:pt>
                <c:pt idx="71">
                  <c:v>23.145821892000001</c:v>
                </c:pt>
                <c:pt idx="72">
                  <c:v>23.252045252999999</c:v>
                </c:pt>
                <c:pt idx="73">
                  <c:v>23.352026129999999</c:v>
                </c:pt>
                <c:pt idx="74">
                  <c:v>23.386460925000002</c:v>
                </c:pt>
                <c:pt idx="75">
                  <c:v>23.420895720000001</c:v>
                </c:pt>
                <c:pt idx="76">
                  <c:v>23.455330515</c:v>
                </c:pt>
                <c:pt idx="77">
                  <c:v>23.489765309999999</c:v>
                </c:pt>
                <c:pt idx="78">
                  <c:v>24.228995982000001</c:v>
                </c:pt>
                <c:pt idx="79">
                  <c:v>25.216978139999998</c:v>
                </c:pt>
                <c:pt idx="80">
                  <c:v>26.204960298</c:v>
                </c:pt>
                <c:pt idx="81">
                  <c:v>27.192942456000001</c:v>
                </c:pt>
                <c:pt idx="82">
                  <c:v>28.134022697999999</c:v>
                </c:pt>
                <c:pt idx="83">
                  <c:v>29.002144403999999</c:v>
                </c:pt>
                <c:pt idx="84">
                  <c:v>29.870266109999999</c:v>
                </c:pt>
                <c:pt idx="85">
                  <c:v>30.738387815999999</c:v>
                </c:pt>
                <c:pt idx="86">
                  <c:v>31.625336124</c:v>
                </c:pt>
                <c:pt idx="87">
                  <c:v>32.926469676000004</c:v>
                </c:pt>
                <c:pt idx="88">
                  <c:v>34.227603228</c:v>
                </c:pt>
                <c:pt idx="89">
                  <c:v>35.528736780000003</c:v>
                </c:pt>
                <c:pt idx="90">
                  <c:v>36.829870331999999</c:v>
                </c:pt>
                <c:pt idx="91">
                  <c:v>37.279963739999999</c:v>
                </c:pt>
                <c:pt idx="92">
                  <c:v>37.357727085</c:v>
                </c:pt>
                <c:pt idx="93">
                  <c:v>37.435490430000002</c:v>
                </c:pt>
                <c:pt idx="94">
                  <c:v>37.513253775000003</c:v>
                </c:pt>
                <c:pt idx="95">
                  <c:v>37.776387960000001</c:v>
                </c:pt>
                <c:pt idx="96">
                  <c:v>38.387092469999999</c:v>
                </c:pt>
                <c:pt idx="97">
                  <c:v>38.997796979999997</c:v>
                </c:pt>
                <c:pt idx="98">
                  <c:v>39.608501490000002</c:v>
                </c:pt>
                <c:pt idx="99">
                  <c:v>40.219206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DE-9749-A4AF-7743584FFE63}"/>
            </c:ext>
          </c:extLst>
        </c:ser>
        <c:ser>
          <c:idx val="7"/>
          <c:order val="7"/>
          <c:tx>
            <c:strRef>
              <c:f>'Inflow Quantiles - Seasonal'!$A$50</c:f>
              <c:strCache>
                <c:ptCount val="1"/>
                <c:pt idx="0">
                  <c:v>ID-UT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'Inflow Quantiles - Seasonal'!$B$50:$CW$50</c:f>
              <c:numCache>
                <c:formatCode>0.00</c:formatCode>
                <c:ptCount val="100"/>
                <c:pt idx="0">
                  <c:v>101.94749742</c:v>
                </c:pt>
                <c:pt idx="1">
                  <c:v>106.97388684000001</c:v>
                </c:pt>
                <c:pt idx="2">
                  <c:v>112.00027626000001</c:v>
                </c:pt>
                <c:pt idx="3">
                  <c:v>116.59635468</c:v>
                </c:pt>
                <c:pt idx="4">
                  <c:v>118.82572260000001</c:v>
                </c:pt>
                <c:pt idx="5">
                  <c:v>121.05509051999999</c:v>
                </c:pt>
                <c:pt idx="6">
                  <c:v>123.28445843999999</c:v>
                </c:pt>
                <c:pt idx="7">
                  <c:v>124.87799724</c:v>
                </c:pt>
                <c:pt idx="8">
                  <c:v>125.04092052</c:v>
                </c:pt>
                <c:pt idx="9">
                  <c:v>125.2038438</c:v>
                </c:pt>
                <c:pt idx="10">
                  <c:v>125.36676708</c:v>
                </c:pt>
                <c:pt idx="11">
                  <c:v>126.44940576</c:v>
                </c:pt>
                <c:pt idx="12">
                  <c:v>128.60504574000001</c:v>
                </c:pt>
                <c:pt idx="13">
                  <c:v>130.76068572</c:v>
                </c:pt>
                <c:pt idx="14">
                  <c:v>132.91632569999999</c:v>
                </c:pt>
                <c:pt idx="15">
                  <c:v>135.27883224000001</c:v>
                </c:pt>
                <c:pt idx="16">
                  <c:v>137.77063038</c:v>
                </c:pt>
                <c:pt idx="17">
                  <c:v>140.26242851999999</c:v>
                </c:pt>
                <c:pt idx="18">
                  <c:v>142.75422666</c:v>
                </c:pt>
                <c:pt idx="19">
                  <c:v>143.7790014</c:v>
                </c:pt>
                <c:pt idx="20">
                  <c:v>144.36366912</c:v>
                </c:pt>
                <c:pt idx="21">
                  <c:v>144.94833684</c:v>
                </c:pt>
                <c:pt idx="22">
                  <c:v>145.53300455999999</c:v>
                </c:pt>
                <c:pt idx="23">
                  <c:v>146.15193851999999</c:v>
                </c:pt>
                <c:pt idx="24">
                  <c:v>146.77372800000001</c:v>
                </c:pt>
                <c:pt idx="25">
                  <c:v>147.39551748</c:v>
                </c:pt>
                <c:pt idx="26">
                  <c:v>148.03527294</c:v>
                </c:pt>
                <c:pt idx="27">
                  <c:v>148.89062016</c:v>
                </c:pt>
                <c:pt idx="28">
                  <c:v>149.74596738</c:v>
                </c:pt>
                <c:pt idx="29">
                  <c:v>150.60131459999999</c:v>
                </c:pt>
                <c:pt idx="30">
                  <c:v>151.50282605999999</c:v>
                </c:pt>
                <c:pt idx="31">
                  <c:v>152.55821832000001</c:v>
                </c:pt>
                <c:pt idx="32">
                  <c:v>153.61361058</c:v>
                </c:pt>
                <c:pt idx="33">
                  <c:v>154.66900283999999</c:v>
                </c:pt>
                <c:pt idx="34">
                  <c:v>155.85388499999999</c:v>
                </c:pt>
                <c:pt idx="35">
                  <c:v>157.24595099999999</c:v>
                </c:pt>
                <c:pt idx="36">
                  <c:v>158.63801699999999</c:v>
                </c:pt>
                <c:pt idx="37">
                  <c:v>160.03008299999999</c:v>
                </c:pt>
                <c:pt idx="38">
                  <c:v>160.88662002000001</c:v>
                </c:pt>
                <c:pt idx="39">
                  <c:v>161.28413219999999</c:v>
                </c:pt>
                <c:pt idx="40">
                  <c:v>161.68164437999999</c:v>
                </c:pt>
                <c:pt idx="41">
                  <c:v>162.07915656</c:v>
                </c:pt>
                <c:pt idx="42">
                  <c:v>162.25964922</c:v>
                </c:pt>
                <c:pt idx="43">
                  <c:v>162.34368875999999</c:v>
                </c:pt>
                <c:pt idx="44">
                  <c:v>162.42772830000001</c:v>
                </c:pt>
                <c:pt idx="45">
                  <c:v>162.51176784</c:v>
                </c:pt>
                <c:pt idx="46">
                  <c:v>163.04035632</c:v>
                </c:pt>
                <c:pt idx="47">
                  <c:v>163.64977188</c:v>
                </c:pt>
                <c:pt idx="48">
                  <c:v>164.25918744000001</c:v>
                </c:pt>
                <c:pt idx="49">
                  <c:v>164.86860300000001</c:v>
                </c:pt>
                <c:pt idx="50">
                  <c:v>165.95235216</c:v>
                </c:pt>
                <c:pt idx="51">
                  <c:v>167.03610132</c:v>
                </c:pt>
                <c:pt idx="52">
                  <c:v>168.11985048</c:v>
                </c:pt>
                <c:pt idx="53">
                  <c:v>169.33709519999999</c:v>
                </c:pt>
                <c:pt idx="54">
                  <c:v>171.2885655</c:v>
                </c:pt>
                <c:pt idx="55">
                  <c:v>173.24003579999999</c:v>
                </c:pt>
                <c:pt idx="56">
                  <c:v>175.1915061</c:v>
                </c:pt>
                <c:pt idx="57">
                  <c:v>178.14066335999999</c:v>
                </c:pt>
                <c:pt idx="58">
                  <c:v>183.33461628000001</c:v>
                </c:pt>
                <c:pt idx="59">
                  <c:v>188.52856919999999</c:v>
                </c:pt>
                <c:pt idx="60">
                  <c:v>193.72252212000001</c:v>
                </c:pt>
                <c:pt idx="61">
                  <c:v>196.59041604000001</c:v>
                </c:pt>
                <c:pt idx="62">
                  <c:v>196.74457446</c:v>
                </c:pt>
                <c:pt idx="63">
                  <c:v>196.89873288000001</c:v>
                </c:pt>
                <c:pt idx="64">
                  <c:v>197.0528913</c:v>
                </c:pt>
                <c:pt idx="65">
                  <c:v>198.19188684</c:v>
                </c:pt>
                <c:pt idx="66">
                  <c:v>199.94640558</c:v>
                </c:pt>
                <c:pt idx="67">
                  <c:v>201.70092432000001</c:v>
                </c:pt>
                <c:pt idx="68">
                  <c:v>203.45544305999999</c:v>
                </c:pt>
                <c:pt idx="69">
                  <c:v>208.17890940000001</c:v>
                </c:pt>
                <c:pt idx="70">
                  <c:v>213.79306002000001</c:v>
                </c:pt>
                <c:pt idx="71">
                  <c:v>219.40721063999999</c:v>
                </c:pt>
                <c:pt idx="72">
                  <c:v>225.02136125999999</c:v>
                </c:pt>
                <c:pt idx="73">
                  <c:v>225.9077226</c:v>
                </c:pt>
                <c:pt idx="74">
                  <c:v>226.40010150000001</c:v>
                </c:pt>
                <c:pt idx="75">
                  <c:v>226.89248040000001</c:v>
                </c:pt>
                <c:pt idx="76">
                  <c:v>227.94077351999999</c:v>
                </c:pt>
                <c:pt idx="77">
                  <c:v>235.66003728000001</c:v>
                </c:pt>
                <c:pt idx="78">
                  <c:v>243.37930104</c:v>
                </c:pt>
                <c:pt idx="79">
                  <c:v>251.09856479999999</c:v>
                </c:pt>
                <c:pt idx="80">
                  <c:v>260.06961713999999</c:v>
                </c:pt>
                <c:pt idx="81">
                  <c:v>273.21329808000002</c:v>
                </c:pt>
                <c:pt idx="82">
                  <c:v>286.35697901999998</c:v>
                </c:pt>
                <c:pt idx="83">
                  <c:v>299.50065996000001</c:v>
                </c:pt>
                <c:pt idx="84">
                  <c:v>314.8135446</c:v>
                </c:pt>
                <c:pt idx="85">
                  <c:v>333.59715516</c:v>
                </c:pt>
                <c:pt idx="86">
                  <c:v>352.38076572</c:v>
                </c:pt>
                <c:pt idx="87">
                  <c:v>371.16437628</c:v>
                </c:pt>
                <c:pt idx="88">
                  <c:v>380.71351277999997</c:v>
                </c:pt>
                <c:pt idx="89">
                  <c:v>382.34738579999998</c:v>
                </c:pt>
                <c:pt idx="90">
                  <c:v>383.98125881999999</c:v>
                </c:pt>
                <c:pt idx="91">
                  <c:v>385.61513184</c:v>
                </c:pt>
                <c:pt idx="92">
                  <c:v>392.12658995999999</c:v>
                </c:pt>
                <c:pt idx="93">
                  <c:v>400.80586368000002</c:v>
                </c:pt>
                <c:pt idx="94">
                  <c:v>409.48513739999999</c:v>
                </c:pt>
                <c:pt idx="95">
                  <c:v>418.16441112000001</c:v>
                </c:pt>
                <c:pt idx="96">
                  <c:v>440.37952386000001</c:v>
                </c:pt>
                <c:pt idx="97">
                  <c:v>465.05569824000003</c:v>
                </c:pt>
                <c:pt idx="98">
                  <c:v>489.73187261999999</c:v>
                </c:pt>
                <c:pt idx="99">
                  <c:v>514.40804700000001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DE-9749-A4AF-7743584FFE63}"/>
            </c:ext>
          </c:extLst>
        </c:ser>
        <c:ser>
          <c:idx val="8"/>
          <c:order val="8"/>
          <c:tx>
            <c:strRef>
              <c:f>'Inflow Quantiles - Seasonal'!$A$51</c:f>
              <c:strCache>
                <c:ptCount val="1"/>
                <c:pt idx="0">
                  <c:v>LBR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'Inflow Quantiles - Seasonal'!$B$51:$CW$51</c:f>
              <c:numCache>
                <c:formatCode>0.00</c:formatCode>
                <c:ptCount val="100"/>
                <c:pt idx="0">
                  <c:v>8.940656916</c:v>
                </c:pt>
                <c:pt idx="1">
                  <c:v>9.7399090319999999</c:v>
                </c:pt>
                <c:pt idx="2">
                  <c:v>10.539161148</c:v>
                </c:pt>
                <c:pt idx="3">
                  <c:v>11.242007736</c:v>
                </c:pt>
                <c:pt idx="4">
                  <c:v>11.41462392</c:v>
                </c:pt>
                <c:pt idx="5">
                  <c:v>11.587240103999999</c:v>
                </c:pt>
                <c:pt idx="6">
                  <c:v>11.759856288</c:v>
                </c:pt>
                <c:pt idx="7">
                  <c:v>11.940372743999999</c:v>
                </c:pt>
                <c:pt idx="8">
                  <c:v>12.138664812</c:v>
                </c:pt>
                <c:pt idx="9">
                  <c:v>12.336956880000001</c:v>
                </c:pt>
                <c:pt idx="10">
                  <c:v>12.535248948</c:v>
                </c:pt>
                <c:pt idx="11">
                  <c:v>12.723451512</c:v>
                </c:pt>
                <c:pt idx="12">
                  <c:v>12.899882988</c:v>
                </c:pt>
                <c:pt idx="13">
                  <c:v>13.076314463999999</c:v>
                </c:pt>
                <c:pt idx="14">
                  <c:v>13.252745940000001</c:v>
                </c:pt>
                <c:pt idx="15">
                  <c:v>13.331010984000001</c:v>
                </c:pt>
                <c:pt idx="16">
                  <c:v>13.347922007999999</c:v>
                </c:pt>
                <c:pt idx="17">
                  <c:v>13.364833032</c:v>
                </c:pt>
                <c:pt idx="18">
                  <c:v>13.381744056</c:v>
                </c:pt>
                <c:pt idx="19">
                  <c:v>13.395839219999999</c:v>
                </c:pt>
                <c:pt idx="20">
                  <c:v>13.409089626</c:v>
                </c:pt>
                <c:pt idx="21">
                  <c:v>13.422340031999999</c:v>
                </c:pt>
                <c:pt idx="22">
                  <c:v>13.435590438</c:v>
                </c:pt>
                <c:pt idx="23">
                  <c:v>13.518087204</c:v>
                </c:pt>
                <c:pt idx="24">
                  <c:v>13.6063545</c:v>
                </c:pt>
                <c:pt idx="25">
                  <c:v>13.694621796</c:v>
                </c:pt>
                <c:pt idx="26">
                  <c:v>13.781282861999999</c:v>
                </c:pt>
                <c:pt idx="27">
                  <c:v>13.848669168000001</c:v>
                </c:pt>
                <c:pt idx="28">
                  <c:v>13.916055474</c:v>
                </c:pt>
                <c:pt idx="29">
                  <c:v>13.98344178</c:v>
                </c:pt>
                <c:pt idx="30">
                  <c:v>14.052362928000001</c:v>
                </c:pt>
                <c:pt idx="31">
                  <c:v>14.126400216</c:v>
                </c:pt>
                <c:pt idx="32">
                  <c:v>14.200437504</c:v>
                </c:pt>
                <c:pt idx="33">
                  <c:v>14.274474791999999</c:v>
                </c:pt>
                <c:pt idx="34">
                  <c:v>14.37512394</c:v>
                </c:pt>
                <c:pt idx="35">
                  <c:v>14.518352064</c:v>
                </c:pt>
                <c:pt idx="36">
                  <c:v>14.661580188</c:v>
                </c:pt>
                <c:pt idx="37">
                  <c:v>14.804808312</c:v>
                </c:pt>
                <c:pt idx="38">
                  <c:v>14.934433056</c:v>
                </c:pt>
                <c:pt idx="39">
                  <c:v>15.05239776</c:v>
                </c:pt>
                <c:pt idx="40">
                  <c:v>15.170362464</c:v>
                </c:pt>
                <c:pt idx="41">
                  <c:v>15.288327168</c:v>
                </c:pt>
                <c:pt idx="42">
                  <c:v>15.365672099999999</c:v>
                </c:pt>
                <c:pt idx="43">
                  <c:v>15.4249638</c:v>
                </c:pt>
                <c:pt idx="44">
                  <c:v>15.4842555</c:v>
                </c:pt>
                <c:pt idx="45">
                  <c:v>15.543547200000001</c:v>
                </c:pt>
                <c:pt idx="46">
                  <c:v>15.602315387999999</c:v>
                </c:pt>
                <c:pt idx="47">
                  <c:v>15.660988392</c:v>
                </c:pt>
                <c:pt idx="48">
                  <c:v>15.719661395999999</c:v>
                </c:pt>
                <c:pt idx="49">
                  <c:v>15.7783344</c:v>
                </c:pt>
                <c:pt idx="50">
                  <c:v>16.131094235999999</c:v>
                </c:pt>
                <c:pt idx="51">
                  <c:v>16.483854072</c:v>
                </c:pt>
                <c:pt idx="52">
                  <c:v>16.836613908</c:v>
                </c:pt>
                <c:pt idx="53">
                  <c:v>17.140647468000001</c:v>
                </c:pt>
                <c:pt idx="54">
                  <c:v>17.17668651</c:v>
                </c:pt>
                <c:pt idx="55">
                  <c:v>17.212725551999998</c:v>
                </c:pt>
                <c:pt idx="56">
                  <c:v>17.248764594000001</c:v>
                </c:pt>
                <c:pt idx="57">
                  <c:v>17.292497676</c:v>
                </c:pt>
                <c:pt idx="58">
                  <c:v>17.353542348000001</c:v>
                </c:pt>
                <c:pt idx="59">
                  <c:v>17.414587019999999</c:v>
                </c:pt>
                <c:pt idx="60">
                  <c:v>17.475631692</c:v>
                </c:pt>
                <c:pt idx="61">
                  <c:v>17.722166183999999</c:v>
                </c:pt>
                <c:pt idx="62">
                  <c:v>18.185105466</c:v>
                </c:pt>
                <c:pt idx="63">
                  <c:v>18.648044748</c:v>
                </c:pt>
                <c:pt idx="64">
                  <c:v>19.110984030000001</c:v>
                </c:pt>
                <c:pt idx="65">
                  <c:v>19.69483872</c:v>
                </c:pt>
                <c:pt idx="66">
                  <c:v>20.35426554</c:v>
                </c:pt>
                <c:pt idx="67">
                  <c:v>21.01369236</c:v>
                </c:pt>
                <c:pt idx="68">
                  <c:v>21.67311918</c:v>
                </c:pt>
                <c:pt idx="69">
                  <c:v>21.878756280000001</c:v>
                </c:pt>
                <c:pt idx="70">
                  <c:v>21.948256464</c:v>
                </c:pt>
                <c:pt idx="71">
                  <c:v>22.017756647999999</c:v>
                </c:pt>
                <c:pt idx="72">
                  <c:v>22.087256832000001</c:v>
                </c:pt>
                <c:pt idx="73">
                  <c:v>22.120253951999999</c:v>
                </c:pt>
                <c:pt idx="74">
                  <c:v>22.150209149999998</c:v>
                </c:pt>
                <c:pt idx="75">
                  <c:v>22.180164348000002</c:v>
                </c:pt>
                <c:pt idx="76">
                  <c:v>22.229116686000001</c:v>
                </c:pt>
                <c:pt idx="77">
                  <c:v>22.506034704000001</c:v>
                </c:pt>
                <c:pt idx="78">
                  <c:v>22.782952722000001</c:v>
                </c:pt>
                <c:pt idx="79">
                  <c:v>23.059870740000001</c:v>
                </c:pt>
                <c:pt idx="80">
                  <c:v>23.494639524</c:v>
                </c:pt>
                <c:pt idx="81">
                  <c:v>24.455577527999999</c:v>
                </c:pt>
                <c:pt idx="82">
                  <c:v>25.416515531999998</c:v>
                </c:pt>
                <c:pt idx="83">
                  <c:v>26.377453536000001</c:v>
                </c:pt>
                <c:pt idx="84">
                  <c:v>27.005624310000002</c:v>
                </c:pt>
                <c:pt idx="85">
                  <c:v>27.101367516</c:v>
                </c:pt>
                <c:pt idx="86">
                  <c:v>27.197110722000001</c:v>
                </c:pt>
                <c:pt idx="87">
                  <c:v>27.292853928</c:v>
                </c:pt>
                <c:pt idx="88">
                  <c:v>27.398758025999999</c:v>
                </c:pt>
                <c:pt idx="89">
                  <c:v>27.513371459999998</c:v>
                </c:pt>
                <c:pt idx="90">
                  <c:v>27.627984894000001</c:v>
                </c:pt>
                <c:pt idx="91">
                  <c:v>27.742598328</c:v>
                </c:pt>
                <c:pt idx="92">
                  <c:v>27.83533134</c:v>
                </c:pt>
                <c:pt idx="93">
                  <c:v>27.918339719999999</c:v>
                </c:pt>
                <c:pt idx="94">
                  <c:v>28.001348100000001</c:v>
                </c:pt>
                <c:pt idx="95">
                  <c:v>28.08435648</c:v>
                </c:pt>
                <c:pt idx="96">
                  <c:v>33.840271770000001</c:v>
                </c:pt>
                <c:pt idx="97">
                  <c:v>40.627624679999997</c:v>
                </c:pt>
                <c:pt idx="98">
                  <c:v>47.414977589999999</c:v>
                </c:pt>
                <c:pt idx="99">
                  <c:v>54.202330500000002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DE-9749-A4AF-7743584FFE63}"/>
            </c:ext>
          </c:extLst>
        </c:ser>
        <c:ser>
          <c:idx val="9"/>
          <c:order val="9"/>
          <c:tx>
            <c:strRef>
              <c:f>'Inflow Quantiles - Seasonal'!$A$52</c:f>
              <c:strCache>
                <c:ptCount val="1"/>
                <c:pt idx="0">
                  <c:v>LoganRiver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'Inflow Quantiles - Seasonal'!$B$52:$CW$52</c:f>
              <c:numCache>
                <c:formatCode>0.00</c:formatCode>
                <c:ptCount val="100"/>
                <c:pt idx="0">
                  <c:v>24.7407012</c:v>
                </c:pt>
                <c:pt idx="1">
                  <c:v>24.812882399999999</c:v>
                </c:pt>
                <c:pt idx="2">
                  <c:v>24.885063599999999</c:v>
                </c:pt>
                <c:pt idx="3">
                  <c:v>25.041490572000001</c:v>
                </c:pt>
                <c:pt idx="4">
                  <c:v>25.66126929</c:v>
                </c:pt>
                <c:pt idx="5">
                  <c:v>26.281048007999999</c:v>
                </c:pt>
                <c:pt idx="6">
                  <c:v>26.900826725999998</c:v>
                </c:pt>
                <c:pt idx="7">
                  <c:v>27.347243652</c:v>
                </c:pt>
                <c:pt idx="8">
                  <c:v>27.403596545999999</c:v>
                </c:pt>
                <c:pt idx="9">
                  <c:v>27.459949439999999</c:v>
                </c:pt>
                <c:pt idx="10">
                  <c:v>27.516302333999999</c:v>
                </c:pt>
                <c:pt idx="11">
                  <c:v>27.769543332000001</c:v>
                </c:pt>
                <c:pt idx="12">
                  <c:v>28.252487118000001</c:v>
                </c:pt>
                <c:pt idx="13">
                  <c:v>28.735430904000001</c:v>
                </c:pt>
                <c:pt idx="14">
                  <c:v>29.218374690000001</c:v>
                </c:pt>
                <c:pt idx="15">
                  <c:v>29.516090412</c:v>
                </c:pt>
                <c:pt idx="16">
                  <c:v>29.698038594</c:v>
                </c:pt>
                <c:pt idx="17">
                  <c:v>29.879986775999999</c:v>
                </c:pt>
                <c:pt idx="18">
                  <c:v>30.061934957999998</c:v>
                </c:pt>
                <c:pt idx="19">
                  <c:v>30.130653840000001</c:v>
                </c:pt>
                <c:pt idx="20">
                  <c:v>30.165403932</c:v>
                </c:pt>
                <c:pt idx="21">
                  <c:v>30.200154024</c:v>
                </c:pt>
                <c:pt idx="22">
                  <c:v>30.234904115999999</c:v>
                </c:pt>
                <c:pt idx="23">
                  <c:v>30.453359328000001</c:v>
                </c:pt>
                <c:pt idx="24">
                  <c:v>30.6871233</c:v>
                </c:pt>
                <c:pt idx="25">
                  <c:v>30.920887272000002</c:v>
                </c:pt>
                <c:pt idx="26">
                  <c:v>31.165688622000001</c:v>
                </c:pt>
                <c:pt idx="27">
                  <c:v>31.542938507999999</c:v>
                </c:pt>
                <c:pt idx="28">
                  <c:v>31.920188394</c:v>
                </c:pt>
                <c:pt idx="29">
                  <c:v>32.297438280000001</c:v>
                </c:pt>
                <c:pt idx="30">
                  <c:v>32.601420281999999</c:v>
                </c:pt>
                <c:pt idx="31">
                  <c:v>32.661176003999998</c:v>
                </c:pt>
                <c:pt idx="32">
                  <c:v>32.720931726000003</c:v>
                </c:pt>
                <c:pt idx="33">
                  <c:v>32.780687448000002</c:v>
                </c:pt>
                <c:pt idx="34">
                  <c:v>32.906952990000001</c:v>
                </c:pt>
                <c:pt idx="35">
                  <c:v>33.139634244</c:v>
                </c:pt>
                <c:pt idx="36">
                  <c:v>33.372315497999999</c:v>
                </c:pt>
                <c:pt idx="37">
                  <c:v>33.604996751999998</c:v>
                </c:pt>
                <c:pt idx="38">
                  <c:v>33.765135899999997</c:v>
                </c:pt>
                <c:pt idx="39">
                  <c:v>33.8630961</c:v>
                </c:pt>
                <c:pt idx="40">
                  <c:v>33.961056300000003</c:v>
                </c:pt>
                <c:pt idx="41">
                  <c:v>34.059016499999998</c:v>
                </c:pt>
                <c:pt idx="42">
                  <c:v>34.556463948000001</c:v>
                </c:pt>
                <c:pt idx="43">
                  <c:v>35.231461283999998</c:v>
                </c:pt>
                <c:pt idx="44">
                  <c:v>35.906458620000002</c:v>
                </c:pt>
                <c:pt idx="45">
                  <c:v>36.581455955999999</c:v>
                </c:pt>
                <c:pt idx="46">
                  <c:v>36.701050686000002</c:v>
                </c:pt>
                <c:pt idx="47">
                  <c:v>36.719663124</c:v>
                </c:pt>
                <c:pt idx="48">
                  <c:v>36.738275561999998</c:v>
                </c:pt>
                <c:pt idx="49">
                  <c:v>36.756887999999996</c:v>
                </c:pt>
                <c:pt idx="50">
                  <c:v>36.759259667999999</c:v>
                </c:pt>
                <c:pt idx="51">
                  <c:v>36.761631336000001</c:v>
                </c:pt>
                <c:pt idx="52">
                  <c:v>36.764003004000003</c:v>
                </c:pt>
                <c:pt idx="53">
                  <c:v>36.794802959999998</c:v>
                </c:pt>
                <c:pt idx="54">
                  <c:v>36.981958499999998</c:v>
                </c:pt>
                <c:pt idx="55">
                  <c:v>37.169114039999997</c:v>
                </c:pt>
                <c:pt idx="56">
                  <c:v>37.356269580000003</c:v>
                </c:pt>
                <c:pt idx="57">
                  <c:v>37.573614311999997</c:v>
                </c:pt>
                <c:pt idx="58">
                  <c:v>37.858884725999999</c:v>
                </c:pt>
                <c:pt idx="59">
                  <c:v>38.144155140000002</c:v>
                </c:pt>
                <c:pt idx="60">
                  <c:v>38.429425553999998</c:v>
                </c:pt>
                <c:pt idx="61">
                  <c:v>38.801289611999998</c:v>
                </c:pt>
                <c:pt idx="62">
                  <c:v>39.274179588000003</c:v>
                </c:pt>
                <c:pt idx="63">
                  <c:v>39.747069564</c:v>
                </c:pt>
                <c:pt idx="64">
                  <c:v>40.219959539999998</c:v>
                </c:pt>
                <c:pt idx="65">
                  <c:v>40.451589804000001</c:v>
                </c:pt>
                <c:pt idx="66">
                  <c:v>40.532432747999998</c:v>
                </c:pt>
                <c:pt idx="67">
                  <c:v>40.613275692000002</c:v>
                </c:pt>
                <c:pt idx="68">
                  <c:v>40.694118635999999</c:v>
                </c:pt>
                <c:pt idx="69">
                  <c:v>41.048932860000001</c:v>
                </c:pt>
                <c:pt idx="70">
                  <c:v>41.485938468000001</c:v>
                </c:pt>
                <c:pt idx="71">
                  <c:v>41.922944076</c:v>
                </c:pt>
                <c:pt idx="72">
                  <c:v>42.359949684</c:v>
                </c:pt>
                <c:pt idx="73">
                  <c:v>42.394326972000002</c:v>
                </c:pt>
                <c:pt idx="74">
                  <c:v>42.395151900000002</c:v>
                </c:pt>
                <c:pt idx="75">
                  <c:v>42.395976828000002</c:v>
                </c:pt>
                <c:pt idx="76">
                  <c:v>42.527374373999997</c:v>
                </c:pt>
                <c:pt idx="77">
                  <c:v>44.225643335999997</c:v>
                </c:pt>
                <c:pt idx="78">
                  <c:v>45.923912297999998</c:v>
                </c:pt>
                <c:pt idx="79">
                  <c:v>47.622181259999998</c:v>
                </c:pt>
                <c:pt idx="80">
                  <c:v>49.060966739999998</c:v>
                </c:pt>
                <c:pt idx="81">
                  <c:v>49.634807279999997</c:v>
                </c:pt>
                <c:pt idx="82">
                  <c:v>50.208647820000003</c:v>
                </c:pt>
                <c:pt idx="83">
                  <c:v>50.782488360000002</c:v>
                </c:pt>
                <c:pt idx="84">
                  <c:v>51.310918200000003</c:v>
                </c:pt>
                <c:pt idx="85">
                  <c:v>51.766690920000002</c:v>
                </c:pt>
                <c:pt idx="86">
                  <c:v>52.222463640000001</c:v>
                </c:pt>
                <c:pt idx="87">
                  <c:v>52.67823636</c:v>
                </c:pt>
                <c:pt idx="88">
                  <c:v>53.417459100000002</c:v>
                </c:pt>
                <c:pt idx="89">
                  <c:v>54.399639000000001</c:v>
                </c:pt>
                <c:pt idx="90">
                  <c:v>55.381818899999999</c:v>
                </c:pt>
                <c:pt idx="91">
                  <c:v>56.363998799999997</c:v>
                </c:pt>
                <c:pt idx="92">
                  <c:v>58.638301499999997</c:v>
                </c:pt>
                <c:pt idx="93">
                  <c:v>61.486880999999997</c:v>
                </c:pt>
                <c:pt idx="94">
                  <c:v>64.335460499999996</c:v>
                </c:pt>
                <c:pt idx="95">
                  <c:v>67.184039999999996</c:v>
                </c:pt>
                <c:pt idx="96">
                  <c:v>67.668526560000004</c:v>
                </c:pt>
                <c:pt idx="97">
                  <c:v>67.723178039999993</c:v>
                </c:pt>
                <c:pt idx="98">
                  <c:v>67.777829519999997</c:v>
                </c:pt>
                <c:pt idx="99">
                  <c:v>67.832481000000001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DE-9749-A4AF-7743584FFE63}"/>
            </c:ext>
          </c:extLst>
        </c:ser>
        <c:ser>
          <c:idx val="10"/>
          <c:order val="10"/>
          <c:tx>
            <c:strRef>
              <c:f>'Inflow Quantiles - Seasonal'!$A$53</c:f>
              <c:strCache>
                <c:ptCount val="1"/>
                <c:pt idx="0">
                  <c:v>Pescadero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'Inflow Quantiles - Seasonal'!$B$53:$CW$53</c:f>
              <c:numCache>
                <c:formatCode>0.00</c:formatCode>
                <c:ptCount val="100"/>
                <c:pt idx="0">
                  <c:v>16.810358988000001</c:v>
                </c:pt>
                <c:pt idx="1">
                  <c:v>16.974622776</c:v>
                </c:pt>
                <c:pt idx="2">
                  <c:v>17.138886564</c:v>
                </c:pt>
                <c:pt idx="3">
                  <c:v>17.300691432000001</c:v>
                </c:pt>
                <c:pt idx="4">
                  <c:v>17.44897224</c:v>
                </c:pt>
                <c:pt idx="5">
                  <c:v>17.597253047999999</c:v>
                </c:pt>
                <c:pt idx="6">
                  <c:v>17.745533856000002</c:v>
                </c:pt>
                <c:pt idx="7">
                  <c:v>17.934632736000001</c:v>
                </c:pt>
                <c:pt idx="8">
                  <c:v>18.215572278</c:v>
                </c:pt>
                <c:pt idx="9">
                  <c:v>18.496511819999998</c:v>
                </c:pt>
                <c:pt idx="10">
                  <c:v>18.777451362000001</c:v>
                </c:pt>
                <c:pt idx="11">
                  <c:v>18.975866375999999</c:v>
                </c:pt>
                <c:pt idx="12">
                  <c:v>19.078002774000002</c:v>
                </c:pt>
                <c:pt idx="13">
                  <c:v>19.180139172000001</c:v>
                </c:pt>
                <c:pt idx="14">
                  <c:v>19.282275569999999</c:v>
                </c:pt>
                <c:pt idx="15">
                  <c:v>19.550032128000002</c:v>
                </c:pt>
                <c:pt idx="16">
                  <c:v>19.921301285999998</c:v>
                </c:pt>
                <c:pt idx="17">
                  <c:v>20.292570443999999</c:v>
                </c:pt>
                <c:pt idx="18">
                  <c:v>20.663839601999999</c:v>
                </c:pt>
                <c:pt idx="19">
                  <c:v>21.296388839999999</c:v>
                </c:pt>
                <c:pt idx="20">
                  <c:v>22.007322102</c:v>
                </c:pt>
                <c:pt idx="21">
                  <c:v>22.718255364000001</c:v>
                </c:pt>
                <c:pt idx="22">
                  <c:v>23.429188625999998</c:v>
                </c:pt>
                <c:pt idx="23">
                  <c:v>24.121037496</c:v>
                </c:pt>
                <c:pt idx="24">
                  <c:v>24.811295999999999</c:v>
                </c:pt>
                <c:pt idx="25">
                  <c:v>25.501554504000001</c:v>
                </c:pt>
                <c:pt idx="26">
                  <c:v>26.144566050000002</c:v>
                </c:pt>
                <c:pt idx="27">
                  <c:v>26.220614099999999</c:v>
                </c:pt>
                <c:pt idx="28">
                  <c:v>26.29666215</c:v>
                </c:pt>
                <c:pt idx="29">
                  <c:v>26.3727102</c:v>
                </c:pt>
                <c:pt idx="30">
                  <c:v>26.504012562</c:v>
                </c:pt>
                <c:pt idx="31">
                  <c:v>26.819495964000001</c:v>
                </c:pt>
                <c:pt idx="32">
                  <c:v>27.134979366</c:v>
                </c:pt>
                <c:pt idx="33">
                  <c:v>27.450462768000001</c:v>
                </c:pt>
                <c:pt idx="34">
                  <c:v>27.668699849999999</c:v>
                </c:pt>
                <c:pt idx="35">
                  <c:v>27.731342819999998</c:v>
                </c:pt>
                <c:pt idx="36">
                  <c:v>27.793985790000001</c:v>
                </c:pt>
                <c:pt idx="37">
                  <c:v>27.85662876</c:v>
                </c:pt>
                <c:pt idx="38">
                  <c:v>28.139785295999999</c:v>
                </c:pt>
                <c:pt idx="39">
                  <c:v>28.611953459999999</c:v>
                </c:pt>
                <c:pt idx="40">
                  <c:v>29.084121624000002</c:v>
                </c:pt>
                <c:pt idx="41">
                  <c:v>29.556289788000001</c:v>
                </c:pt>
                <c:pt idx="42">
                  <c:v>29.726879346</c:v>
                </c:pt>
                <c:pt idx="43">
                  <c:v>29.763433968000001</c:v>
                </c:pt>
                <c:pt idx="44">
                  <c:v>29.799988590000002</c:v>
                </c:pt>
                <c:pt idx="45">
                  <c:v>29.836543211999999</c:v>
                </c:pt>
                <c:pt idx="46">
                  <c:v>29.880557880000001</c:v>
                </c:pt>
                <c:pt idx="47">
                  <c:v>29.92592892</c:v>
                </c:pt>
                <c:pt idx="48">
                  <c:v>29.97129996</c:v>
                </c:pt>
                <c:pt idx="49">
                  <c:v>30.016670999999999</c:v>
                </c:pt>
                <c:pt idx="50">
                  <c:v>30.216458249999999</c:v>
                </c:pt>
                <c:pt idx="51">
                  <c:v>30.416245499999999</c:v>
                </c:pt>
                <c:pt idx="52">
                  <c:v>30.616032749999999</c:v>
                </c:pt>
                <c:pt idx="53">
                  <c:v>30.901453872000001</c:v>
                </c:pt>
                <c:pt idx="54">
                  <c:v>31.65786129</c:v>
                </c:pt>
                <c:pt idx="55">
                  <c:v>32.414268708000002</c:v>
                </c:pt>
                <c:pt idx="56">
                  <c:v>33.170676125999996</c:v>
                </c:pt>
                <c:pt idx="57">
                  <c:v>33.713173368</c:v>
                </c:pt>
                <c:pt idx="58">
                  <c:v>33.774372714000002</c:v>
                </c:pt>
                <c:pt idx="59">
                  <c:v>33.835572059999997</c:v>
                </c:pt>
                <c:pt idx="60">
                  <c:v>33.896771405999999</c:v>
                </c:pt>
                <c:pt idx="61">
                  <c:v>33.941599103999998</c:v>
                </c:pt>
                <c:pt idx="62">
                  <c:v>33.967326546000002</c:v>
                </c:pt>
                <c:pt idx="63">
                  <c:v>33.993053988</c:v>
                </c:pt>
                <c:pt idx="64">
                  <c:v>34.018781429999997</c:v>
                </c:pt>
                <c:pt idx="65">
                  <c:v>34.43622276</c:v>
                </c:pt>
                <c:pt idx="66">
                  <c:v>35.098485269999998</c:v>
                </c:pt>
                <c:pt idx="67">
                  <c:v>35.760747780000003</c:v>
                </c:pt>
                <c:pt idx="68">
                  <c:v>36.423010290000001</c:v>
                </c:pt>
                <c:pt idx="69">
                  <c:v>36.871941659999997</c:v>
                </c:pt>
                <c:pt idx="70">
                  <c:v>37.256873687999999</c:v>
                </c:pt>
                <c:pt idx="71">
                  <c:v>37.641805716</c:v>
                </c:pt>
                <c:pt idx="72">
                  <c:v>38.026737744000002</c:v>
                </c:pt>
                <c:pt idx="73">
                  <c:v>38.500952364</c:v>
                </c:pt>
                <c:pt idx="74">
                  <c:v>38.982607199999997</c:v>
                </c:pt>
                <c:pt idx="75">
                  <c:v>39.464262036000001</c:v>
                </c:pt>
                <c:pt idx="76">
                  <c:v>40.459470246000002</c:v>
                </c:pt>
                <c:pt idx="77">
                  <c:v>47.617318943999997</c:v>
                </c:pt>
                <c:pt idx="78">
                  <c:v>54.775167642</c:v>
                </c:pt>
                <c:pt idx="79">
                  <c:v>61.933016340000002</c:v>
                </c:pt>
                <c:pt idx="80">
                  <c:v>70.696880874000101</c:v>
                </c:pt>
                <c:pt idx="81">
                  <c:v>84.814131528000004</c:v>
                </c:pt>
                <c:pt idx="82">
                  <c:v>98.931382182000107</c:v>
                </c:pt>
                <c:pt idx="83">
                  <c:v>113.048632836</c:v>
                </c:pt>
                <c:pt idx="84">
                  <c:v>124.90700853</c:v>
                </c:pt>
                <c:pt idx="85">
                  <c:v>133.151184288</c:v>
                </c:pt>
                <c:pt idx="86">
                  <c:v>141.39536004600001</c:v>
                </c:pt>
                <c:pt idx="87">
                  <c:v>149.63953580399999</c:v>
                </c:pt>
                <c:pt idx="88">
                  <c:v>157.902312102</c:v>
                </c:pt>
                <c:pt idx="89">
                  <c:v>166.18103171999999</c:v>
                </c:pt>
                <c:pt idx="90">
                  <c:v>174.45975133799999</c:v>
                </c:pt>
                <c:pt idx="91">
                  <c:v>182.73847095599999</c:v>
                </c:pt>
                <c:pt idx="92">
                  <c:v>196.92376230599999</c:v>
                </c:pt>
                <c:pt idx="93">
                  <c:v>213.73419664799999</c:v>
                </c:pt>
                <c:pt idx="94">
                  <c:v>230.54463099</c:v>
                </c:pt>
                <c:pt idx="95">
                  <c:v>247.35506533200001</c:v>
                </c:pt>
                <c:pt idx="96">
                  <c:v>260.21782655999999</c:v>
                </c:pt>
                <c:pt idx="97">
                  <c:v>272.36282904000001</c:v>
                </c:pt>
                <c:pt idx="98">
                  <c:v>284.50783152000002</c:v>
                </c:pt>
                <c:pt idx="99">
                  <c:v>296.65283399999998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DE-9749-A4AF-7743584FFE63}"/>
            </c:ext>
          </c:extLst>
        </c:ser>
        <c:ser>
          <c:idx val="11"/>
          <c:order val="11"/>
          <c:tx>
            <c:strRef>
              <c:f>'Inflow Quantiles - Seasonal'!$A$54</c:f>
              <c:strCache>
                <c:ptCount val="1"/>
                <c:pt idx="0">
                  <c:v>Randolf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'Inflow Quantiles - Seasonal'!$B$54:$CW$54</c:f>
              <c:numCache>
                <c:formatCode>0.00</c:formatCode>
                <c:ptCount val="100"/>
                <c:pt idx="0">
                  <c:v>0.78917014740000002</c:v>
                </c:pt>
                <c:pt idx="1">
                  <c:v>0.80181732480000001</c:v>
                </c:pt>
                <c:pt idx="2">
                  <c:v>0.8144645022</c:v>
                </c:pt>
                <c:pt idx="3">
                  <c:v>0.84235936320000004</c:v>
                </c:pt>
                <c:pt idx="4">
                  <c:v>0.95411648400000004</c:v>
                </c:pt>
                <c:pt idx="5">
                  <c:v>1.0658736047999999</c:v>
                </c:pt>
                <c:pt idx="6">
                  <c:v>1.1776307256</c:v>
                </c:pt>
                <c:pt idx="7">
                  <c:v>1.2556784327999999</c:v>
                </c:pt>
                <c:pt idx="8">
                  <c:v>1.2578799594000001</c:v>
                </c:pt>
                <c:pt idx="9">
                  <c:v>1.260081486</c:v>
                </c:pt>
                <c:pt idx="10">
                  <c:v>1.2622830126</c:v>
                </c:pt>
                <c:pt idx="11">
                  <c:v>1.2813392459999999</c:v>
                </c:pt>
                <c:pt idx="12">
                  <c:v>1.3200593039999999</c:v>
                </c:pt>
                <c:pt idx="13">
                  <c:v>1.3587793619999999</c:v>
                </c:pt>
                <c:pt idx="14">
                  <c:v>1.3974994199999999</c:v>
                </c:pt>
                <c:pt idx="15">
                  <c:v>1.4231411964</c:v>
                </c:pt>
                <c:pt idx="16">
                  <c:v>1.4406090467999999</c:v>
                </c:pt>
                <c:pt idx="17">
                  <c:v>1.4580768972</c:v>
                </c:pt>
                <c:pt idx="18">
                  <c:v>1.4755447476000001</c:v>
                </c:pt>
                <c:pt idx="19">
                  <c:v>1.5093366539999999</c:v>
                </c:pt>
                <c:pt idx="20">
                  <c:v>1.5480257771999999</c:v>
                </c:pt>
                <c:pt idx="21">
                  <c:v>1.5867149004000001</c:v>
                </c:pt>
                <c:pt idx="22">
                  <c:v>1.6254040236</c:v>
                </c:pt>
                <c:pt idx="23">
                  <c:v>1.6445756676000001</c:v>
                </c:pt>
                <c:pt idx="24">
                  <c:v>1.662120855</c:v>
                </c:pt>
                <c:pt idx="25">
                  <c:v>1.6796660424000001</c:v>
                </c:pt>
                <c:pt idx="26">
                  <c:v>1.6959559907999999</c:v>
                </c:pt>
                <c:pt idx="27">
                  <c:v>1.6971830712</c:v>
                </c:pt>
                <c:pt idx="28">
                  <c:v>1.6984101516000001</c:v>
                </c:pt>
                <c:pt idx="29">
                  <c:v>1.6996372319999999</c:v>
                </c:pt>
                <c:pt idx="30">
                  <c:v>1.7009642556</c:v>
                </c:pt>
                <c:pt idx="31">
                  <c:v>1.7026244232000001</c:v>
                </c:pt>
                <c:pt idx="32">
                  <c:v>1.7042845907999999</c:v>
                </c:pt>
                <c:pt idx="33">
                  <c:v>1.7059447584</c:v>
                </c:pt>
                <c:pt idx="34">
                  <c:v>1.723288473</c:v>
                </c:pt>
                <c:pt idx="35">
                  <c:v>1.7657258628000001</c:v>
                </c:pt>
                <c:pt idx="36">
                  <c:v>1.8081632526</c:v>
                </c:pt>
                <c:pt idx="37">
                  <c:v>1.8506006424000001</c:v>
                </c:pt>
                <c:pt idx="38">
                  <c:v>1.8821830902000001</c:v>
                </c:pt>
                <c:pt idx="39">
                  <c:v>1.9044613020000001</c:v>
                </c:pt>
                <c:pt idx="40">
                  <c:v>1.9267395138000001</c:v>
                </c:pt>
                <c:pt idx="41">
                  <c:v>1.9490177256000001</c:v>
                </c:pt>
                <c:pt idx="42">
                  <c:v>1.9613123256</c:v>
                </c:pt>
                <c:pt idx="43">
                  <c:v>1.9691697647999999</c:v>
                </c:pt>
                <c:pt idx="44">
                  <c:v>1.9770272040000001</c:v>
                </c:pt>
                <c:pt idx="45">
                  <c:v>1.9848846432</c:v>
                </c:pt>
                <c:pt idx="46">
                  <c:v>2.0111522543999998</c:v>
                </c:pt>
                <c:pt idx="47">
                  <c:v>2.0407671696</c:v>
                </c:pt>
                <c:pt idx="48">
                  <c:v>2.0703820847999999</c:v>
                </c:pt>
                <c:pt idx="49">
                  <c:v>2.0999970000000001</c:v>
                </c:pt>
                <c:pt idx="50">
                  <c:v>2.1051373326</c:v>
                </c:pt>
                <c:pt idx="51">
                  <c:v>2.1102776651999999</c:v>
                </c:pt>
                <c:pt idx="52">
                  <c:v>2.1154179977999998</c:v>
                </c:pt>
                <c:pt idx="53">
                  <c:v>2.1252620063999998</c:v>
                </c:pt>
                <c:pt idx="54">
                  <c:v>2.160976233</c:v>
                </c:pt>
                <c:pt idx="55">
                  <c:v>2.1966904596000001</c:v>
                </c:pt>
                <c:pt idx="56">
                  <c:v>2.2324046862000002</c:v>
                </c:pt>
                <c:pt idx="57">
                  <c:v>2.2597728624000002</c:v>
                </c:pt>
                <c:pt idx="58">
                  <c:v>2.2683624251999999</c:v>
                </c:pt>
                <c:pt idx="59">
                  <c:v>2.276951988</c:v>
                </c:pt>
                <c:pt idx="60">
                  <c:v>2.2855415508000001</c:v>
                </c:pt>
                <c:pt idx="61">
                  <c:v>2.3268767892</c:v>
                </c:pt>
                <c:pt idx="62">
                  <c:v>2.4064153157999999</c:v>
                </c:pt>
                <c:pt idx="63">
                  <c:v>2.4859538423999998</c:v>
                </c:pt>
                <c:pt idx="64">
                  <c:v>2.5654923690000002</c:v>
                </c:pt>
                <c:pt idx="65">
                  <c:v>2.6252008955999999</c:v>
                </c:pt>
                <c:pt idx="66">
                  <c:v>2.6725156721999999</c:v>
                </c:pt>
                <c:pt idx="67">
                  <c:v>2.7198304487999998</c:v>
                </c:pt>
                <c:pt idx="68">
                  <c:v>2.7671452254000002</c:v>
                </c:pt>
                <c:pt idx="69">
                  <c:v>2.805413556</c:v>
                </c:pt>
                <c:pt idx="70">
                  <c:v>2.8409679527999998</c:v>
                </c:pt>
                <c:pt idx="71">
                  <c:v>2.8765223496000001</c:v>
                </c:pt>
                <c:pt idx="72">
                  <c:v>2.9120767463999999</c:v>
                </c:pt>
                <c:pt idx="73">
                  <c:v>3.1341917831999999</c:v>
                </c:pt>
                <c:pt idx="74">
                  <c:v>3.37185354</c:v>
                </c:pt>
                <c:pt idx="75">
                  <c:v>3.6095152968000002</c:v>
                </c:pt>
                <c:pt idx="76">
                  <c:v>3.8323033637999999</c:v>
                </c:pt>
                <c:pt idx="77">
                  <c:v>3.8766071532000002</c:v>
                </c:pt>
                <c:pt idx="78">
                  <c:v>3.9209109425999999</c:v>
                </c:pt>
                <c:pt idx="79">
                  <c:v>3.9652147320000002</c:v>
                </c:pt>
                <c:pt idx="80">
                  <c:v>4.0055065157999996</c:v>
                </c:pt>
                <c:pt idx="81">
                  <c:v>4.0324249476</c:v>
                </c:pt>
                <c:pt idx="82">
                  <c:v>4.0593433793999996</c:v>
                </c:pt>
                <c:pt idx="83">
                  <c:v>4.0862618112</c:v>
                </c:pt>
                <c:pt idx="84">
                  <c:v>4.1474782110000001</c:v>
                </c:pt>
                <c:pt idx="85">
                  <c:v>4.2635713596000002</c:v>
                </c:pt>
                <c:pt idx="86">
                  <c:v>4.3796645082000003</c:v>
                </c:pt>
                <c:pt idx="87">
                  <c:v>4.4957576568000004</c:v>
                </c:pt>
                <c:pt idx="88">
                  <c:v>4.8452070726000001</c:v>
                </c:pt>
                <c:pt idx="89">
                  <c:v>5.3946761460000099</c:v>
                </c:pt>
                <c:pt idx="90">
                  <c:v>5.9441452194000002</c:v>
                </c:pt>
                <c:pt idx="91">
                  <c:v>6.4936142928000002</c:v>
                </c:pt>
                <c:pt idx="92">
                  <c:v>6.8069211540000003</c:v>
                </c:pt>
                <c:pt idx="93">
                  <c:v>7.0152670319999997</c:v>
                </c:pt>
                <c:pt idx="94">
                  <c:v>7.2236129099999999</c:v>
                </c:pt>
                <c:pt idx="95">
                  <c:v>7.4319587880000002</c:v>
                </c:pt>
                <c:pt idx="96">
                  <c:v>7.6602417479999998</c:v>
                </c:pt>
                <c:pt idx="97">
                  <c:v>7.8921496319999997</c:v>
                </c:pt>
                <c:pt idx="98">
                  <c:v>8.1240575160000006</c:v>
                </c:pt>
                <c:pt idx="99">
                  <c:v>8.3559654000000005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DE-9749-A4AF-7743584FFE63}"/>
            </c:ext>
          </c:extLst>
        </c:ser>
        <c:ser>
          <c:idx val="12"/>
          <c:order val="12"/>
          <c:tx>
            <c:strRef>
              <c:f>'Inflow Quantiles - Seasonal'!$A$55</c:f>
              <c:strCache>
                <c:ptCount val="1"/>
                <c:pt idx="0">
                  <c:v>SmithsFork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'Inflow Quantiles - Seasonal'!$B$55:$CW$55</c:f>
              <c:numCache>
                <c:formatCode>0.00</c:formatCode>
                <c:ptCount val="100"/>
                <c:pt idx="0">
                  <c:v>11.363525976</c:v>
                </c:pt>
                <c:pt idx="1">
                  <c:v>11.552846951999999</c:v>
                </c:pt>
                <c:pt idx="2">
                  <c:v>11.742167928000001</c:v>
                </c:pt>
                <c:pt idx="3">
                  <c:v>12.109490916</c:v>
                </c:pt>
                <c:pt idx="4">
                  <c:v>13.45582497</c:v>
                </c:pt>
                <c:pt idx="5">
                  <c:v>14.802159024</c:v>
                </c:pt>
                <c:pt idx="6">
                  <c:v>16.148493078000001</c:v>
                </c:pt>
                <c:pt idx="7">
                  <c:v>17.143360212000001</c:v>
                </c:pt>
                <c:pt idx="8">
                  <c:v>17.347426775999999</c:v>
                </c:pt>
                <c:pt idx="9">
                  <c:v>17.55149334</c:v>
                </c:pt>
                <c:pt idx="10">
                  <c:v>17.755559903999998</c:v>
                </c:pt>
                <c:pt idx="11">
                  <c:v>17.875721771999999</c:v>
                </c:pt>
                <c:pt idx="12">
                  <c:v>17.897994828000002</c:v>
                </c:pt>
                <c:pt idx="13">
                  <c:v>17.920267884000001</c:v>
                </c:pt>
                <c:pt idx="14">
                  <c:v>17.942540940000001</c:v>
                </c:pt>
                <c:pt idx="15">
                  <c:v>18.182499803999999</c:v>
                </c:pt>
                <c:pt idx="16">
                  <c:v>18.558512298</c:v>
                </c:pt>
                <c:pt idx="17">
                  <c:v>18.934524792000001</c:v>
                </c:pt>
                <c:pt idx="18">
                  <c:v>19.310537285999999</c:v>
                </c:pt>
                <c:pt idx="19">
                  <c:v>19.57066326</c:v>
                </c:pt>
                <c:pt idx="20">
                  <c:v>19.796023278</c:v>
                </c:pt>
                <c:pt idx="21">
                  <c:v>20.021383296</c:v>
                </c:pt>
                <c:pt idx="22">
                  <c:v>20.246743314</c:v>
                </c:pt>
                <c:pt idx="23">
                  <c:v>20.367924444</c:v>
                </c:pt>
                <c:pt idx="24">
                  <c:v>20.480423999999999</c:v>
                </c:pt>
                <c:pt idx="25">
                  <c:v>20.592923555999999</c:v>
                </c:pt>
                <c:pt idx="26">
                  <c:v>20.720422524</c:v>
                </c:pt>
                <c:pt idx="27">
                  <c:v>21.027914436</c:v>
                </c:pt>
                <c:pt idx="28">
                  <c:v>21.335406347999999</c:v>
                </c:pt>
                <c:pt idx="29">
                  <c:v>21.642898259999999</c:v>
                </c:pt>
                <c:pt idx="30">
                  <c:v>21.916671239999999</c:v>
                </c:pt>
                <c:pt idx="31">
                  <c:v>22.078047779999999</c:v>
                </c:pt>
                <c:pt idx="32">
                  <c:v>22.239424320000001</c:v>
                </c:pt>
                <c:pt idx="33">
                  <c:v>22.40080086</c:v>
                </c:pt>
                <c:pt idx="34">
                  <c:v>22.560273720000001</c:v>
                </c:pt>
                <c:pt idx="35">
                  <c:v>22.716700692</c:v>
                </c:pt>
                <c:pt idx="36">
                  <c:v>22.873127663999998</c:v>
                </c:pt>
                <c:pt idx="37">
                  <c:v>23.029554636</c:v>
                </c:pt>
                <c:pt idx="38">
                  <c:v>23.119547141999998</c:v>
                </c:pt>
                <c:pt idx="39">
                  <c:v>23.152595819999998</c:v>
                </c:pt>
                <c:pt idx="40">
                  <c:v>23.185644497999998</c:v>
                </c:pt>
                <c:pt idx="41">
                  <c:v>23.218693175999999</c:v>
                </c:pt>
                <c:pt idx="42">
                  <c:v>23.236107881999999</c:v>
                </c:pt>
                <c:pt idx="43">
                  <c:v>23.246574156000001</c:v>
                </c:pt>
                <c:pt idx="44">
                  <c:v>23.25704043</c:v>
                </c:pt>
                <c:pt idx="45">
                  <c:v>23.267506703999999</c:v>
                </c:pt>
                <c:pt idx="46">
                  <c:v>23.576723825999998</c:v>
                </c:pt>
                <c:pt idx="47">
                  <c:v>23.940259284</c:v>
                </c:pt>
                <c:pt idx="48">
                  <c:v>24.303794742000001</c:v>
                </c:pt>
                <c:pt idx="49">
                  <c:v>24.667330199999999</c:v>
                </c:pt>
                <c:pt idx="50">
                  <c:v>24.719558454000001</c:v>
                </c:pt>
                <c:pt idx="51">
                  <c:v>24.771786708</c:v>
                </c:pt>
                <c:pt idx="52">
                  <c:v>24.824014962</c:v>
                </c:pt>
                <c:pt idx="53">
                  <c:v>24.873990528</c:v>
                </c:pt>
                <c:pt idx="54">
                  <c:v>24.911576310000001</c:v>
                </c:pt>
                <c:pt idx="55">
                  <c:v>24.949162092000002</c:v>
                </c:pt>
                <c:pt idx="56">
                  <c:v>24.986747873999999</c:v>
                </c:pt>
                <c:pt idx="57">
                  <c:v>25.014148968000001</c:v>
                </c:pt>
                <c:pt idx="58">
                  <c:v>25.018634513999999</c:v>
                </c:pt>
                <c:pt idx="59">
                  <c:v>25.02312006</c:v>
                </c:pt>
                <c:pt idx="60">
                  <c:v>25.027605606000002</c:v>
                </c:pt>
                <c:pt idx="61">
                  <c:v>25.048082063999999</c:v>
                </c:pt>
                <c:pt idx="62">
                  <c:v>25.087214586000002</c:v>
                </c:pt>
                <c:pt idx="63">
                  <c:v>25.126347108000001</c:v>
                </c:pt>
                <c:pt idx="64">
                  <c:v>25.16547963</c:v>
                </c:pt>
                <c:pt idx="65">
                  <c:v>25.280664168000001</c:v>
                </c:pt>
                <c:pt idx="66">
                  <c:v>25.443381215999999</c:v>
                </c:pt>
                <c:pt idx="67">
                  <c:v>25.606098264</c:v>
                </c:pt>
                <c:pt idx="68">
                  <c:v>25.768815312000001</c:v>
                </c:pt>
                <c:pt idx="69">
                  <c:v>25.8936174</c:v>
                </c:pt>
                <c:pt idx="70">
                  <c:v>26.007045000000002</c:v>
                </c:pt>
                <c:pt idx="71">
                  <c:v>26.120472599999999</c:v>
                </c:pt>
                <c:pt idx="72">
                  <c:v>26.233900200000001</c:v>
                </c:pt>
                <c:pt idx="73">
                  <c:v>26.349754992000001</c:v>
                </c:pt>
                <c:pt idx="74">
                  <c:v>26.46581205</c:v>
                </c:pt>
                <c:pt idx="75">
                  <c:v>26.581869107999999</c:v>
                </c:pt>
                <c:pt idx="76">
                  <c:v>26.697160728</c:v>
                </c:pt>
                <c:pt idx="77">
                  <c:v>26.803267091999999</c:v>
                </c:pt>
                <c:pt idx="78">
                  <c:v>26.909373456000001</c:v>
                </c:pt>
                <c:pt idx="79">
                  <c:v>27.015479819999999</c:v>
                </c:pt>
                <c:pt idx="80">
                  <c:v>27.208144134000001</c:v>
                </c:pt>
                <c:pt idx="81">
                  <c:v>27.689334947999999</c:v>
                </c:pt>
                <c:pt idx="82">
                  <c:v>28.170525762</c:v>
                </c:pt>
                <c:pt idx="83">
                  <c:v>28.651716575999998</c:v>
                </c:pt>
                <c:pt idx="84">
                  <c:v>29.04993867</c:v>
                </c:pt>
                <c:pt idx="85">
                  <c:v>29.315410812</c:v>
                </c:pt>
                <c:pt idx="86">
                  <c:v>29.580882954</c:v>
                </c:pt>
                <c:pt idx="87">
                  <c:v>29.846355096</c:v>
                </c:pt>
                <c:pt idx="88">
                  <c:v>30.069989904</c:v>
                </c:pt>
                <c:pt idx="89">
                  <c:v>30.257764139999999</c:v>
                </c:pt>
                <c:pt idx="90">
                  <c:v>30.445538375999998</c:v>
                </c:pt>
                <c:pt idx="91">
                  <c:v>30.633312612000001</c:v>
                </c:pt>
                <c:pt idx="92">
                  <c:v>30.892332071999999</c:v>
                </c:pt>
                <c:pt idx="93">
                  <c:v>31.183016076000001</c:v>
                </c:pt>
                <c:pt idx="94">
                  <c:v>31.47370008</c:v>
                </c:pt>
                <c:pt idx="95">
                  <c:v>31.764384084</c:v>
                </c:pt>
                <c:pt idx="96">
                  <c:v>32.747063699999998</c:v>
                </c:pt>
                <c:pt idx="97">
                  <c:v>33.855560699999998</c:v>
                </c:pt>
                <c:pt idx="98">
                  <c:v>34.964057699999998</c:v>
                </c:pt>
                <c:pt idx="99">
                  <c:v>36.072554699999998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DE-9749-A4AF-7743584FFE63}"/>
            </c:ext>
          </c:extLst>
        </c:ser>
        <c:ser>
          <c:idx val="13"/>
          <c:order val="13"/>
          <c:tx>
            <c:strRef>
              <c:f>'Inflow Quantiles - Seasonal'!$A$56</c:f>
              <c:strCache>
                <c:ptCount val="1"/>
                <c:pt idx="0">
                  <c:v>UT-WY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'Inflow Quantiles - Seasonal'!$B$56:$CW$56</c:f>
              <c:numCache>
                <c:formatCode>0.00</c:formatCode>
                <c:ptCount val="100"/>
                <c:pt idx="0">
                  <c:v>8.6902714379999999</c:v>
                </c:pt>
                <c:pt idx="1">
                  <c:v>8.8816031760000005</c:v>
                </c:pt>
                <c:pt idx="2">
                  <c:v>9.0729349139999993</c:v>
                </c:pt>
                <c:pt idx="3">
                  <c:v>9.3353453040000005</c:v>
                </c:pt>
                <c:pt idx="4">
                  <c:v>9.9886882799999999</c:v>
                </c:pt>
                <c:pt idx="5">
                  <c:v>10.642031255999999</c:v>
                </c:pt>
                <c:pt idx="6">
                  <c:v>11.295374232</c:v>
                </c:pt>
                <c:pt idx="7">
                  <c:v>11.83406808</c:v>
                </c:pt>
                <c:pt idx="8">
                  <c:v>12.11480139</c:v>
                </c:pt>
                <c:pt idx="9">
                  <c:v>12.395534700000001</c:v>
                </c:pt>
                <c:pt idx="10">
                  <c:v>12.676268009999999</c:v>
                </c:pt>
                <c:pt idx="11">
                  <c:v>12.953503308</c:v>
                </c:pt>
                <c:pt idx="12">
                  <c:v>13.226657592</c:v>
                </c:pt>
                <c:pt idx="13">
                  <c:v>13.499811876000001</c:v>
                </c:pt>
                <c:pt idx="14">
                  <c:v>13.772966159999999</c:v>
                </c:pt>
                <c:pt idx="15">
                  <c:v>13.879802268000001</c:v>
                </c:pt>
                <c:pt idx="16">
                  <c:v>13.882689515999999</c:v>
                </c:pt>
                <c:pt idx="17">
                  <c:v>13.885576764</c:v>
                </c:pt>
                <c:pt idx="18">
                  <c:v>13.888464012</c:v>
                </c:pt>
                <c:pt idx="19">
                  <c:v>13.995657059999999</c:v>
                </c:pt>
                <c:pt idx="20">
                  <c:v>14.134141848000001</c:v>
                </c:pt>
                <c:pt idx="21">
                  <c:v>14.272626636</c:v>
                </c:pt>
                <c:pt idx="22">
                  <c:v>14.411111424</c:v>
                </c:pt>
                <c:pt idx="23">
                  <c:v>14.450890404000001</c:v>
                </c:pt>
                <c:pt idx="24">
                  <c:v>14.4824439</c:v>
                </c:pt>
                <c:pt idx="25">
                  <c:v>14.513997396000001</c:v>
                </c:pt>
                <c:pt idx="26">
                  <c:v>14.544357126</c:v>
                </c:pt>
                <c:pt idx="27">
                  <c:v>14.560391664000001</c:v>
                </c:pt>
                <c:pt idx="28">
                  <c:v>14.576426202</c:v>
                </c:pt>
                <c:pt idx="29">
                  <c:v>14.59246074</c:v>
                </c:pt>
                <c:pt idx="30">
                  <c:v>14.60741256</c:v>
                </c:pt>
                <c:pt idx="31">
                  <c:v>14.61875532</c:v>
                </c:pt>
                <c:pt idx="32">
                  <c:v>14.63009808</c:v>
                </c:pt>
                <c:pt idx="33">
                  <c:v>14.64144084</c:v>
                </c:pt>
                <c:pt idx="34">
                  <c:v>14.66910369</c:v>
                </c:pt>
                <c:pt idx="35">
                  <c:v>14.722878683999999</c:v>
                </c:pt>
                <c:pt idx="36">
                  <c:v>14.776653678000001</c:v>
                </c:pt>
                <c:pt idx="37">
                  <c:v>14.830428672</c:v>
                </c:pt>
                <c:pt idx="38">
                  <c:v>14.929122582</c:v>
                </c:pt>
                <c:pt idx="39">
                  <c:v>15.06631842</c:v>
                </c:pt>
                <c:pt idx="40">
                  <c:v>15.203514258</c:v>
                </c:pt>
                <c:pt idx="41">
                  <c:v>15.340710096</c:v>
                </c:pt>
                <c:pt idx="42">
                  <c:v>15.402413124000001</c:v>
                </c:pt>
                <c:pt idx="43">
                  <c:v>15.430563791999999</c:v>
                </c:pt>
                <c:pt idx="44">
                  <c:v>15.458714459999999</c:v>
                </c:pt>
                <c:pt idx="45">
                  <c:v>15.486865128</c:v>
                </c:pt>
                <c:pt idx="46">
                  <c:v>15.655971402</c:v>
                </c:pt>
                <c:pt idx="47">
                  <c:v>15.850705968</c:v>
                </c:pt>
                <c:pt idx="48">
                  <c:v>16.045440534000001</c:v>
                </c:pt>
                <c:pt idx="49">
                  <c:v>16.240175099999998</c:v>
                </c:pt>
                <c:pt idx="50">
                  <c:v>16.403974865999999</c:v>
                </c:pt>
                <c:pt idx="51">
                  <c:v>16.567774631999999</c:v>
                </c:pt>
                <c:pt idx="52">
                  <c:v>16.731574397999999</c:v>
                </c:pt>
                <c:pt idx="53">
                  <c:v>16.889694852000002</c:v>
                </c:pt>
                <c:pt idx="54">
                  <c:v>17.01657909</c:v>
                </c:pt>
                <c:pt idx="55">
                  <c:v>17.143463327999999</c:v>
                </c:pt>
                <c:pt idx="56">
                  <c:v>17.270347566000002</c:v>
                </c:pt>
                <c:pt idx="57">
                  <c:v>17.45805438</c:v>
                </c:pt>
                <c:pt idx="58">
                  <c:v>17.782611989999999</c:v>
                </c:pt>
                <c:pt idx="59">
                  <c:v>18.107169599999999</c:v>
                </c:pt>
                <c:pt idx="60">
                  <c:v>18.431727209999998</c:v>
                </c:pt>
                <c:pt idx="61">
                  <c:v>18.616935443999999</c:v>
                </c:pt>
                <c:pt idx="62">
                  <c:v>18.639569406</c:v>
                </c:pt>
                <c:pt idx="63">
                  <c:v>18.662203368</c:v>
                </c:pt>
                <c:pt idx="64">
                  <c:v>18.684837330000001</c:v>
                </c:pt>
                <c:pt idx="65">
                  <c:v>18.754365276000001</c:v>
                </c:pt>
                <c:pt idx="66">
                  <c:v>18.853201962</c:v>
                </c:pt>
                <c:pt idx="67">
                  <c:v>18.952038647999998</c:v>
                </c:pt>
                <c:pt idx="68">
                  <c:v>19.050875334000001</c:v>
                </c:pt>
                <c:pt idx="69">
                  <c:v>19.19825586</c:v>
                </c:pt>
                <c:pt idx="70">
                  <c:v>19.360199538</c:v>
                </c:pt>
                <c:pt idx="71">
                  <c:v>19.522143216</c:v>
                </c:pt>
                <c:pt idx="72">
                  <c:v>19.684086894</c:v>
                </c:pt>
                <c:pt idx="73">
                  <c:v>19.706014908</c:v>
                </c:pt>
                <c:pt idx="74">
                  <c:v>19.716274949999999</c:v>
                </c:pt>
                <c:pt idx="75">
                  <c:v>19.726534992000001</c:v>
                </c:pt>
                <c:pt idx="76">
                  <c:v>19.746055643999998</c:v>
                </c:pt>
                <c:pt idx="77">
                  <c:v>19.876703616</c:v>
                </c:pt>
                <c:pt idx="78">
                  <c:v>20.007351587999999</c:v>
                </c:pt>
                <c:pt idx="79">
                  <c:v>20.137999560000001</c:v>
                </c:pt>
                <c:pt idx="80">
                  <c:v>20.23861698</c:v>
                </c:pt>
                <c:pt idx="81">
                  <c:v>20.239132560000002</c:v>
                </c:pt>
                <c:pt idx="82">
                  <c:v>20.23964814</c:v>
                </c:pt>
                <c:pt idx="83">
                  <c:v>20.240163720000002</c:v>
                </c:pt>
                <c:pt idx="84">
                  <c:v>20.490953730000001</c:v>
                </c:pt>
                <c:pt idx="85">
                  <c:v>21.142182827999999</c:v>
                </c:pt>
                <c:pt idx="86">
                  <c:v>21.793411926000001</c:v>
                </c:pt>
                <c:pt idx="87">
                  <c:v>22.444641023999999</c:v>
                </c:pt>
                <c:pt idx="88">
                  <c:v>22.759228109999999</c:v>
                </c:pt>
                <c:pt idx="89">
                  <c:v>22.785264900000001</c:v>
                </c:pt>
                <c:pt idx="90">
                  <c:v>22.811301690000001</c:v>
                </c:pt>
                <c:pt idx="91">
                  <c:v>22.83733848</c:v>
                </c:pt>
                <c:pt idx="92">
                  <c:v>23.190689249999998</c:v>
                </c:pt>
                <c:pt idx="93">
                  <c:v>23.6895129</c:v>
                </c:pt>
                <c:pt idx="94">
                  <c:v>24.188336549999999</c:v>
                </c:pt>
                <c:pt idx="95">
                  <c:v>24.687160200000001</c:v>
                </c:pt>
                <c:pt idx="96">
                  <c:v>25.188296028</c:v>
                </c:pt>
                <c:pt idx="97">
                  <c:v>25.689852252000001</c:v>
                </c:pt>
                <c:pt idx="98">
                  <c:v>26.191408475999999</c:v>
                </c:pt>
                <c:pt idx="99">
                  <c:v>26.692964700000001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DE-9749-A4AF-7743584FFE63}"/>
            </c:ext>
          </c:extLst>
        </c:ser>
        <c:ser>
          <c:idx val="14"/>
          <c:order val="14"/>
          <c:tx>
            <c:strRef>
              <c:f>'Inflow Quantiles - Seasonal'!$A$57</c:f>
              <c:strCache>
                <c:ptCount val="1"/>
                <c:pt idx="0">
                  <c:v>WYBorder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'Inflow Quantiles - Seasonal'!$B$57:$CW$57</c:f>
              <c:numCache>
                <c:formatCode>0.00</c:formatCode>
                <c:ptCount val="100"/>
                <c:pt idx="0">
                  <c:v>24.04952655</c:v>
                </c:pt>
                <c:pt idx="1">
                  <c:v>25.7074137</c:v>
                </c:pt>
                <c:pt idx="2">
                  <c:v>27.365300850000001</c:v>
                </c:pt>
                <c:pt idx="3">
                  <c:v>29.023188000000001</c:v>
                </c:pt>
                <c:pt idx="4">
                  <c:v>29.719568025000001</c:v>
                </c:pt>
                <c:pt idx="5">
                  <c:v>30.415948050000001</c:v>
                </c:pt>
                <c:pt idx="6">
                  <c:v>31.112328075000001</c:v>
                </c:pt>
                <c:pt idx="7">
                  <c:v>31.8087081</c:v>
                </c:pt>
                <c:pt idx="8">
                  <c:v>32.664471749999997</c:v>
                </c:pt>
                <c:pt idx="9">
                  <c:v>33.520235399999997</c:v>
                </c:pt>
                <c:pt idx="10">
                  <c:v>34.375999049999997</c:v>
                </c:pt>
                <c:pt idx="11">
                  <c:v>35.231762699999997</c:v>
                </c:pt>
                <c:pt idx="12">
                  <c:v>35.240934074999998</c:v>
                </c:pt>
                <c:pt idx="13">
                  <c:v>35.25010545</c:v>
                </c:pt>
                <c:pt idx="14">
                  <c:v>35.259276825000001</c:v>
                </c:pt>
                <c:pt idx="15">
                  <c:v>35.268448200000002</c:v>
                </c:pt>
                <c:pt idx="16">
                  <c:v>35.673128925</c:v>
                </c:pt>
                <c:pt idx="17">
                  <c:v>36.077809649999999</c:v>
                </c:pt>
                <c:pt idx="18">
                  <c:v>36.482490374999998</c:v>
                </c:pt>
                <c:pt idx="19">
                  <c:v>36.887171100000003</c:v>
                </c:pt>
                <c:pt idx="20">
                  <c:v>37.729152900000003</c:v>
                </c:pt>
                <c:pt idx="21">
                  <c:v>38.571134700000002</c:v>
                </c:pt>
                <c:pt idx="22">
                  <c:v>39.413116500000001</c:v>
                </c:pt>
                <c:pt idx="23">
                  <c:v>40.2550983</c:v>
                </c:pt>
                <c:pt idx="24">
                  <c:v>40.298079825000002</c:v>
                </c:pt>
                <c:pt idx="25">
                  <c:v>40.341061349999997</c:v>
                </c:pt>
                <c:pt idx="26">
                  <c:v>40.384042874999999</c:v>
                </c:pt>
                <c:pt idx="27">
                  <c:v>40.427024400000001</c:v>
                </c:pt>
                <c:pt idx="28">
                  <c:v>41.472709875</c:v>
                </c:pt>
                <c:pt idx="29">
                  <c:v>42.518395349999999</c:v>
                </c:pt>
                <c:pt idx="30">
                  <c:v>43.564080824999998</c:v>
                </c:pt>
                <c:pt idx="31">
                  <c:v>44.609766299999997</c:v>
                </c:pt>
                <c:pt idx="32">
                  <c:v>44.851692300000003</c:v>
                </c:pt>
                <c:pt idx="33">
                  <c:v>45.093618300000003</c:v>
                </c:pt>
                <c:pt idx="34">
                  <c:v>45.335544300000002</c:v>
                </c:pt>
                <c:pt idx="35">
                  <c:v>45.577470300000002</c:v>
                </c:pt>
                <c:pt idx="36">
                  <c:v>45.863716349999997</c:v>
                </c:pt>
                <c:pt idx="37">
                  <c:v>46.1499624</c:v>
                </c:pt>
                <c:pt idx="38">
                  <c:v>46.436208450000002</c:v>
                </c:pt>
                <c:pt idx="39">
                  <c:v>46.722454499999998</c:v>
                </c:pt>
                <c:pt idx="40">
                  <c:v>47.473168725000001</c:v>
                </c:pt>
                <c:pt idx="41">
                  <c:v>48.223882949999997</c:v>
                </c:pt>
                <c:pt idx="42">
                  <c:v>48.974597175</c:v>
                </c:pt>
                <c:pt idx="43">
                  <c:v>49.725311400000002</c:v>
                </c:pt>
                <c:pt idx="44">
                  <c:v>49.832938724999998</c:v>
                </c:pt>
                <c:pt idx="45">
                  <c:v>49.940566050000001</c:v>
                </c:pt>
                <c:pt idx="46">
                  <c:v>50.048193374999997</c:v>
                </c:pt>
                <c:pt idx="47">
                  <c:v>50.1558207</c:v>
                </c:pt>
                <c:pt idx="48">
                  <c:v>50.442512925000003</c:v>
                </c:pt>
                <c:pt idx="49">
                  <c:v>50.729205149999999</c:v>
                </c:pt>
                <c:pt idx="50">
                  <c:v>51.015897375000002</c:v>
                </c:pt>
                <c:pt idx="51">
                  <c:v>51.302589599999997</c:v>
                </c:pt>
                <c:pt idx="52">
                  <c:v>51.659430450000002</c:v>
                </c:pt>
                <c:pt idx="53">
                  <c:v>52.0162713</c:v>
                </c:pt>
                <c:pt idx="54">
                  <c:v>52.373112149999997</c:v>
                </c:pt>
                <c:pt idx="55">
                  <c:v>52.729953000000002</c:v>
                </c:pt>
                <c:pt idx="56">
                  <c:v>52.85200665</c:v>
                </c:pt>
                <c:pt idx="57">
                  <c:v>52.974060299999998</c:v>
                </c:pt>
                <c:pt idx="58">
                  <c:v>53.096113950000003</c:v>
                </c:pt>
                <c:pt idx="59">
                  <c:v>53.218167600000001</c:v>
                </c:pt>
                <c:pt idx="60">
                  <c:v>53.585419199999997</c:v>
                </c:pt>
                <c:pt idx="61">
                  <c:v>53.9526708</c:v>
                </c:pt>
                <c:pt idx="62">
                  <c:v>54.319922400000003</c:v>
                </c:pt>
                <c:pt idx="63">
                  <c:v>54.687173999999999</c:v>
                </c:pt>
                <c:pt idx="64">
                  <c:v>55.940925749999998</c:v>
                </c:pt>
                <c:pt idx="65">
                  <c:v>57.194677499999997</c:v>
                </c:pt>
                <c:pt idx="66">
                  <c:v>58.448429249999997</c:v>
                </c:pt>
                <c:pt idx="67">
                  <c:v>59.702181000000003</c:v>
                </c:pt>
                <c:pt idx="68">
                  <c:v>59.747790000000002</c:v>
                </c:pt>
                <c:pt idx="69">
                  <c:v>59.793399000000001</c:v>
                </c:pt>
                <c:pt idx="70">
                  <c:v>59.839008</c:v>
                </c:pt>
                <c:pt idx="71">
                  <c:v>59.884616999999999</c:v>
                </c:pt>
                <c:pt idx="72">
                  <c:v>62.507630249999998</c:v>
                </c:pt>
                <c:pt idx="73">
                  <c:v>65.130643500000005</c:v>
                </c:pt>
                <c:pt idx="74">
                  <c:v>67.753656750000005</c:v>
                </c:pt>
                <c:pt idx="75">
                  <c:v>70.376670000000004</c:v>
                </c:pt>
                <c:pt idx="76">
                  <c:v>70.703864999999993</c:v>
                </c:pt>
                <c:pt idx="77">
                  <c:v>71.031059999999997</c:v>
                </c:pt>
                <c:pt idx="78">
                  <c:v>71.358255</c:v>
                </c:pt>
                <c:pt idx="79">
                  <c:v>71.685450000000003</c:v>
                </c:pt>
                <c:pt idx="80">
                  <c:v>75.441747750000005</c:v>
                </c:pt>
                <c:pt idx="81">
                  <c:v>79.198045500000006</c:v>
                </c:pt>
                <c:pt idx="82">
                  <c:v>82.954343249999994</c:v>
                </c:pt>
                <c:pt idx="83">
                  <c:v>86.710640999999995</c:v>
                </c:pt>
                <c:pt idx="84">
                  <c:v>89.733228749999995</c:v>
                </c:pt>
                <c:pt idx="85">
                  <c:v>92.755816499999995</c:v>
                </c:pt>
                <c:pt idx="86">
                  <c:v>95.778404249999994</c:v>
                </c:pt>
                <c:pt idx="87">
                  <c:v>98.800991999999994</c:v>
                </c:pt>
                <c:pt idx="88">
                  <c:v>99.105878250000004</c:v>
                </c:pt>
                <c:pt idx="89">
                  <c:v>99.410764499999999</c:v>
                </c:pt>
                <c:pt idx="90">
                  <c:v>99.715650749999995</c:v>
                </c:pt>
                <c:pt idx="91">
                  <c:v>100.020537</c:v>
                </c:pt>
                <c:pt idx="92">
                  <c:v>102.51465525</c:v>
                </c:pt>
                <c:pt idx="93">
                  <c:v>105.0087735</c:v>
                </c:pt>
                <c:pt idx="94">
                  <c:v>107.50289175</c:v>
                </c:pt>
                <c:pt idx="95">
                  <c:v>109.99701</c:v>
                </c:pt>
                <c:pt idx="96">
                  <c:v>121.77161782500001</c:v>
                </c:pt>
                <c:pt idx="97">
                  <c:v>133.54622565</c:v>
                </c:pt>
                <c:pt idx="98">
                  <c:v>145.320833475</c:v>
                </c:pt>
                <c:pt idx="99">
                  <c:v>157.0954413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DE-9749-A4AF-7743584F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99231"/>
        <c:axId val="760904351"/>
      </c:areaChart>
      <c:catAx>
        <c:axId val="123599231"/>
        <c:scaling>
          <c:orientation val="maxMin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Percentile</a:t>
                </a:r>
              </a:p>
            </c:rich>
          </c:tx>
          <c:layout>
            <c:manualLayout>
              <c:xMode val="edge"/>
              <c:yMode val="edge"/>
              <c:x val="0.45908079487264813"/>
              <c:y val="0.93953963141348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3">
                <a:lumMod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04351"/>
        <c:crosses val="autoZero"/>
        <c:auto val="1"/>
        <c:lblAlgn val="ctr"/>
        <c:lblOffset val="100"/>
        <c:noMultiLvlLbl val="0"/>
      </c:catAx>
      <c:valAx>
        <c:axId val="7609043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accent3">
                  <a:lumMod val="75000"/>
                  <a:alpha val="1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Water</a:t>
                </a:r>
                <a:r>
                  <a:rPr lang="en-US" sz="1400" baseline="0"/>
                  <a:t> Inflow (acft)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071828997233008E-2"/>
              <c:y val="0.27668675060151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9231"/>
        <c:crossesAt val="1"/>
        <c:crossBetween val="midCat"/>
        <c:majorUnit val="500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370325172053259E-2"/>
          <c:y val="0.10156858726293479"/>
          <c:w val="0.85240382320911812"/>
          <c:h val="0.258912075715627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</xdr:colOff>
      <xdr:row>0</xdr:row>
      <xdr:rowOff>0</xdr:rowOff>
    </xdr:from>
    <xdr:to>
      <xdr:col>17</xdr:col>
      <xdr:colOff>463435</xdr:colOff>
      <xdr:row>93</xdr:row>
      <xdr:rowOff>4896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77F166-D3D0-3CC8-A688-8E7BD5349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" y="0"/>
          <a:ext cx="11857818" cy="175026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622300</xdr:colOff>
      <xdr:row>0</xdr:row>
      <xdr:rowOff>25401</xdr:rowOff>
    </xdr:from>
    <xdr:to>
      <xdr:col>45</xdr:col>
      <xdr:colOff>135467</xdr:colOff>
      <xdr:row>139</xdr:row>
      <xdr:rowOff>138023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B1511-D666-AA49-99BA-B625C406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0967" y="25401"/>
          <a:ext cx="24574500" cy="27180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168778</xdr:colOff>
      <xdr:row>1</xdr:row>
      <xdr:rowOff>51142</xdr:rowOff>
    </xdr:from>
    <xdr:to>
      <xdr:col>10</xdr:col>
      <xdr:colOff>8757</xdr:colOff>
      <xdr:row>21</xdr:row>
      <xdr:rowOff>140138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2D60C-6CAE-FE44-B650-72B1EC1D5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65020</xdr:colOff>
      <xdr:row>1</xdr:row>
      <xdr:rowOff>50987</xdr:rowOff>
    </xdr:from>
    <xdr:to>
      <xdr:col>25</xdr:col>
      <xdr:colOff>13607</xdr:colOff>
      <xdr:row>22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1E3BE-5E74-B94C-88BA-E10BA911D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1586588596446/WOPIServiceId_TP_BOX_2/WOPIUserId_-/CacheValleyWaterBank_2024June_Session.xlsx" TargetMode="External"/><Relationship Id="rId1" Type="http://schemas.openxmlformats.org/officeDocument/2006/relationships/externalLinkPath" Target="/wopi/files/1586588596446/WOPIServiceId_TP_BOX_2/WOPIUserId_-/CacheValleyWaterBank_2024June_Sess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pi/files/1586588596446/WOPIServiceId_TPOX_2/WOPIUserId_-/CacheValleyWaterBank_2024June_Se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rumElevation"/>
      <sheetName val="FlowQuantiles_Monthly_v2"/>
      <sheetName val="Inflow Quantiles - (old and New"/>
      <sheetName val="Directions"/>
      <sheetName val="Cells"/>
      <sheetName val="Versions"/>
      <sheetName val="Assumptions"/>
      <sheetName val="Model"/>
      <sheetName val="Inflow Quantiles - Seasonal"/>
      <sheetName val="Elevation-Area-Storage"/>
      <sheetName val="Ag Water Use - Tiers"/>
      <sheetName val="Non Ag Water Use - Tiers"/>
      <sheetName val="WaterUse"/>
      <sheetName val="LandUse_Canals"/>
      <sheetName val="ResElevation"/>
      <sheetName val="Structural"/>
      <sheetName val="LandUse"/>
      <sheetName val="Canal_Irr"/>
      <sheetName val="Crop &amp; Costs"/>
      <sheetName val="Lu_Canals"/>
      <sheetName val="Inflows-Quantiles"/>
      <sheetName val="IrrigatedAreaData"/>
      <sheetName val="FlowQuantiles_Monthly"/>
      <sheetName val="Cutlter Release"/>
      <sheetName val="Return"/>
      <sheetName val="Rivers"/>
      <sheetName val="Reservoirs"/>
      <sheetName val="Inflows"/>
      <sheetName val="Crop Costs-Details"/>
      <sheetName val="FlowQuantiles_Monthly_Data"/>
      <sheetName val="FlowQuantiles_Seasonal (2)"/>
      <sheetName val="Porcupine Res Ele (2)"/>
      <sheetName val="NonIrrUsers"/>
      <sheetName val="Crop Water Requirements"/>
      <sheetName val="Network"/>
      <sheetName val="nodes"/>
      <sheetName val="HyrumResEle"/>
      <sheetName val="El_Area_Calc"/>
      <sheetName val="ElevationArea_arrange"/>
      <sheetName val="Alfalfa 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5">
          <cell r="B25">
            <v>1</v>
          </cell>
          <cell r="C25">
            <v>2</v>
          </cell>
          <cell r="D25">
            <v>3</v>
          </cell>
          <cell r="E25">
            <v>4</v>
          </cell>
          <cell r="F25">
            <v>5</v>
          </cell>
          <cell r="G25">
            <v>6</v>
          </cell>
          <cell r="H25">
            <v>7</v>
          </cell>
          <cell r="I25">
            <v>8</v>
          </cell>
          <cell r="J25">
            <v>9</v>
          </cell>
          <cell r="K25">
            <v>10</v>
          </cell>
          <cell r="L25">
            <v>11</v>
          </cell>
          <cell r="M25">
            <v>12</v>
          </cell>
          <cell r="N25">
            <v>13</v>
          </cell>
          <cell r="O25">
            <v>14</v>
          </cell>
          <cell r="P25">
            <v>15</v>
          </cell>
          <cell r="Q25">
            <v>16</v>
          </cell>
          <cell r="R25">
            <v>17</v>
          </cell>
          <cell r="S25">
            <v>18</v>
          </cell>
          <cell r="T25">
            <v>19</v>
          </cell>
          <cell r="U25">
            <v>20</v>
          </cell>
          <cell r="V25">
            <v>21</v>
          </cell>
          <cell r="W25">
            <v>22</v>
          </cell>
          <cell r="X25">
            <v>23</v>
          </cell>
          <cell r="Y25">
            <v>24</v>
          </cell>
          <cell r="Z25">
            <v>25</v>
          </cell>
          <cell r="AA25">
            <v>26</v>
          </cell>
          <cell r="AB25">
            <v>27</v>
          </cell>
          <cell r="AC25">
            <v>28</v>
          </cell>
          <cell r="AD25">
            <v>29</v>
          </cell>
          <cell r="AE25">
            <v>30</v>
          </cell>
          <cell r="AF25">
            <v>31</v>
          </cell>
          <cell r="AG25">
            <v>32</v>
          </cell>
          <cell r="AH25">
            <v>33</v>
          </cell>
          <cell r="AI25">
            <v>34</v>
          </cell>
          <cell r="AJ25">
            <v>35</v>
          </cell>
          <cell r="AK25">
            <v>36</v>
          </cell>
          <cell r="AL25">
            <v>37</v>
          </cell>
          <cell r="AM25">
            <v>38</v>
          </cell>
          <cell r="AN25">
            <v>39</v>
          </cell>
          <cell r="AO25">
            <v>40</v>
          </cell>
          <cell r="AP25">
            <v>41</v>
          </cell>
          <cell r="AQ25">
            <v>42</v>
          </cell>
          <cell r="AR25">
            <v>43</v>
          </cell>
          <cell r="AS25">
            <v>44</v>
          </cell>
          <cell r="AT25">
            <v>45</v>
          </cell>
          <cell r="AU25">
            <v>46</v>
          </cell>
          <cell r="AV25">
            <v>47</v>
          </cell>
          <cell r="AW25">
            <v>48</v>
          </cell>
          <cell r="AX25">
            <v>49</v>
          </cell>
          <cell r="AY25">
            <v>50</v>
          </cell>
          <cell r="AZ25">
            <v>51</v>
          </cell>
          <cell r="BA25">
            <v>52</v>
          </cell>
          <cell r="BB25">
            <v>53</v>
          </cell>
          <cell r="BC25">
            <v>54</v>
          </cell>
          <cell r="BD25">
            <v>55</v>
          </cell>
          <cell r="BE25">
            <v>56</v>
          </cell>
          <cell r="BF25">
            <v>57</v>
          </cell>
          <cell r="BG25">
            <v>58</v>
          </cell>
          <cell r="BH25">
            <v>59</v>
          </cell>
          <cell r="BI25">
            <v>60</v>
          </cell>
          <cell r="BJ25">
            <v>61</v>
          </cell>
          <cell r="BK25">
            <v>62</v>
          </cell>
          <cell r="BL25">
            <v>63</v>
          </cell>
          <cell r="BM25">
            <v>64</v>
          </cell>
          <cell r="BN25">
            <v>65</v>
          </cell>
          <cell r="BO25">
            <v>66</v>
          </cell>
          <cell r="BP25">
            <v>67</v>
          </cell>
          <cell r="BQ25">
            <v>68</v>
          </cell>
          <cell r="BR25">
            <v>69</v>
          </cell>
          <cell r="BS25">
            <v>70</v>
          </cell>
          <cell r="BT25">
            <v>71</v>
          </cell>
          <cell r="BU25">
            <v>72</v>
          </cell>
          <cell r="BV25">
            <v>73</v>
          </cell>
          <cell r="BW25">
            <v>74</v>
          </cell>
          <cell r="BX25">
            <v>75</v>
          </cell>
          <cell r="BY25">
            <v>76</v>
          </cell>
          <cell r="BZ25">
            <v>77</v>
          </cell>
          <cell r="CA25">
            <v>78</v>
          </cell>
          <cell r="CB25">
            <v>79</v>
          </cell>
          <cell r="CC25">
            <v>80</v>
          </cell>
          <cell r="CD25">
            <v>81</v>
          </cell>
          <cell r="CE25">
            <v>82</v>
          </cell>
          <cell r="CF25">
            <v>83</v>
          </cell>
          <cell r="CG25">
            <v>84</v>
          </cell>
          <cell r="CH25">
            <v>85</v>
          </cell>
          <cell r="CI25">
            <v>86</v>
          </cell>
          <cell r="CJ25">
            <v>87</v>
          </cell>
          <cell r="CK25">
            <v>88</v>
          </cell>
          <cell r="CL25">
            <v>89</v>
          </cell>
          <cell r="CM25">
            <v>90</v>
          </cell>
          <cell r="CN25">
            <v>91</v>
          </cell>
          <cell r="CO25">
            <v>92</v>
          </cell>
          <cell r="CP25">
            <v>93</v>
          </cell>
          <cell r="CQ25">
            <v>94</v>
          </cell>
          <cell r="CR25">
            <v>95</v>
          </cell>
          <cell r="CS25">
            <v>96</v>
          </cell>
          <cell r="CT25">
            <v>97</v>
          </cell>
          <cell r="CU25">
            <v>98</v>
          </cell>
          <cell r="CV25">
            <v>99</v>
          </cell>
          <cell r="CW25">
            <v>100</v>
          </cell>
        </row>
        <row r="26">
          <cell r="A26" t="str">
            <v>East Fork - Little Bear River</v>
          </cell>
          <cell r="B26">
            <v>17.252655240000003</v>
          </cell>
          <cell r="C26">
            <v>17.531623679999999</v>
          </cell>
          <cell r="D26">
            <v>17.810592120000003</v>
          </cell>
          <cell r="E26">
            <v>18.089560560000002</v>
          </cell>
          <cell r="F26">
            <v>18.368528999999999</v>
          </cell>
          <cell r="G26">
            <v>18.552432419999999</v>
          </cell>
          <cell r="H26">
            <v>18.736335840000002</v>
          </cell>
          <cell r="I26">
            <v>18.920239259999999</v>
          </cell>
          <cell r="J26">
            <v>19.104142680000002</v>
          </cell>
          <cell r="K26">
            <v>19.288046100000003</v>
          </cell>
          <cell r="L26">
            <v>19.344006360000002</v>
          </cell>
          <cell r="M26">
            <v>19.399966619999997</v>
          </cell>
          <cell r="N26">
            <v>19.45592688</v>
          </cell>
          <cell r="O26">
            <v>19.511887139999999</v>
          </cell>
          <cell r="P26">
            <v>19.567847399999998</v>
          </cell>
          <cell r="Q26">
            <v>19.650895440000003</v>
          </cell>
          <cell r="R26">
            <v>19.733943480000001</v>
          </cell>
          <cell r="S26">
            <v>19.816991519999998</v>
          </cell>
          <cell r="T26">
            <v>19.900039560000003</v>
          </cell>
          <cell r="U26">
            <v>19.983087600000001</v>
          </cell>
          <cell r="V26">
            <v>20.177064659999999</v>
          </cell>
          <cell r="W26">
            <v>20.371041720000001</v>
          </cell>
          <cell r="X26">
            <v>20.565018779999999</v>
          </cell>
          <cell r="Y26">
            <v>20.758995840000001</v>
          </cell>
          <cell r="Z26">
            <v>20.952972899999999</v>
          </cell>
          <cell r="AA26">
            <v>21.0184119</v>
          </cell>
          <cell r="AB26">
            <v>21.083850900000002</v>
          </cell>
          <cell r="AC26">
            <v>21.149289899999996</v>
          </cell>
          <cell r="AD26">
            <v>21.214728900000001</v>
          </cell>
          <cell r="AE26">
            <v>21.280167899999999</v>
          </cell>
          <cell r="AF26">
            <v>21.392286720000001</v>
          </cell>
          <cell r="AG26">
            <v>21.50440554</v>
          </cell>
          <cell r="AH26">
            <v>21.616524360000003</v>
          </cell>
          <cell r="AI26">
            <v>21.728643180000002</v>
          </cell>
          <cell r="AJ26">
            <v>21.840762000000002</v>
          </cell>
          <cell r="AK26">
            <v>22.064325419999999</v>
          </cell>
          <cell r="AL26">
            <v>22.287888840000001</v>
          </cell>
          <cell r="AM26">
            <v>22.511452259999999</v>
          </cell>
          <cell r="AN26">
            <v>22.73501568</v>
          </cell>
          <cell r="AO26">
            <v>22.958579100000001</v>
          </cell>
          <cell r="AP26">
            <v>23.161479660000001</v>
          </cell>
          <cell r="AQ26">
            <v>23.364380220000001</v>
          </cell>
          <cell r="AR26">
            <v>23.567280780000001</v>
          </cell>
          <cell r="AS26">
            <v>23.770181340000001</v>
          </cell>
          <cell r="AT26">
            <v>23.9730819</v>
          </cell>
          <cell r="AU26">
            <v>24.141359279999996</v>
          </cell>
          <cell r="AV26">
            <v>24.309636659999999</v>
          </cell>
          <cell r="AW26">
            <v>24.477914040000002</v>
          </cell>
          <cell r="AX26">
            <v>24.646191419999994</v>
          </cell>
          <cell r="AY26">
            <v>24.8144688</v>
          </cell>
          <cell r="AZ26">
            <v>25.006621500000001</v>
          </cell>
          <cell r="BA26">
            <v>25.198774200000003</v>
          </cell>
          <cell r="BB26">
            <v>25.3909269</v>
          </cell>
          <cell r="BC26">
            <v>25.583079599999998</v>
          </cell>
          <cell r="BD26">
            <v>25.775232299999999</v>
          </cell>
          <cell r="BE26">
            <v>25.856574959999996</v>
          </cell>
          <cell r="BF26">
            <v>25.93791762</v>
          </cell>
          <cell r="BG26">
            <v>26.019260280000001</v>
          </cell>
          <cell r="BH26">
            <v>26.100602939999998</v>
          </cell>
          <cell r="BI26">
            <v>26.181945599999999</v>
          </cell>
          <cell r="BJ26">
            <v>26.260869</v>
          </cell>
          <cell r="BK26">
            <v>26.3397924</v>
          </cell>
          <cell r="BL26">
            <v>26.418715800000001</v>
          </cell>
          <cell r="BM26">
            <v>26.497639200000002</v>
          </cell>
          <cell r="BN26">
            <v>26.576562600000003</v>
          </cell>
          <cell r="BO26">
            <v>26.954046479999999</v>
          </cell>
          <cell r="BP26">
            <v>27.331530360000002</v>
          </cell>
          <cell r="BQ26">
            <v>27.709014240000002</v>
          </cell>
          <cell r="BR26">
            <v>28.086498120000002</v>
          </cell>
          <cell r="BS26">
            <v>28.463981999999998</v>
          </cell>
          <cell r="BT26">
            <v>28.773845579999996</v>
          </cell>
          <cell r="BU26">
            <v>29.083709159999998</v>
          </cell>
          <cell r="BV26">
            <v>29.39357274</v>
          </cell>
          <cell r="BW26">
            <v>29.703436320000002</v>
          </cell>
          <cell r="BX26">
            <v>30.013299900000003</v>
          </cell>
          <cell r="BY26">
            <v>30.174597120000001</v>
          </cell>
          <cell r="BZ26">
            <v>30.335894340000003</v>
          </cell>
          <cell r="CA26">
            <v>30.497191560000001</v>
          </cell>
          <cell r="CB26">
            <v>30.658488779999999</v>
          </cell>
          <cell r="CC26">
            <v>30.819786000000004</v>
          </cell>
          <cell r="CD26">
            <v>31.32549066</v>
          </cell>
          <cell r="CE26">
            <v>31.831195319999996</v>
          </cell>
          <cell r="CF26">
            <v>32.336899979999998</v>
          </cell>
          <cell r="CG26">
            <v>32.842604639999998</v>
          </cell>
          <cell r="CH26">
            <v>33.348309300000004</v>
          </cell>
          <cell r="CI26">
            <v>33.674869740000005</v>
          </cell>
          <cell r="CJ26">
            <v>34.00143018</v>
          </cell>
          <cell r="CK26">
            <v>34.327990620000001</v>
          </cell>
          <cell r="CL26">
            <v>34.654551059999996</v>
          </cell>
          <cell r="CM26">
            <v>34.981111500000004</v>
          </cell>
          <cell r="CN26">
            <v>36.477800579999993</v>
          </cell>
          <cell r="CO26">
            <v>37.974489659999996</v>
          </cell>
          <cell r="CP26">
            <v>39.471178739999999</v>
          </cell>
          <cell r="CQ26">
            <v>40.967867820000002</v>
          </cell>
          <cell r="CR26">
            <v>42.464556900000005</v>
          </cell>
          <cell r="CS26">
            <v>47.427926580000026</v>
          </cell>
          <cell r="CT26">
            <v>52.391296259999997</v>
          </cell>
          <cell r="CU26">
            <v>57.354665940000004</v>
          </cell>
          <cell r="CV26">
            <v>62.318035619999996</v>
          </cell>
          <cell r="CW26">
            <v>67.281405300000003</v>
          </cell>
        </row>
        <row r="27">
          <cell r="A27" t="str">
            <v>Blacksmith  Fork</v>
          </cell>
          <cell r="B27">
            <v>21.236313854999999</v>
          </cell>
          <cell r="C27">
            <v>21.852005609999999</v>
          </cell>
          <cell r="D27">
            <v>22.467697364999999</v>
          </cell>
          <cell r="E27">
            <v>23.08338912</v>
          </cell>
          <cell r="F27">
            <v>23.56615047</v>
          </cell>
          <cell r="G27">
            <v>23.623534524</v>
          </cell>
          <cell r="H27">
            <v>23.680918578</v>
          </cell>
          <cell r="I27">
            <v>23.738302632</v>
          </cell>
          <cell r="J27">
            <v>23.795686686</v>
          </cell>
          <cell r="K27">
            <v>23.96354367</v>
          </cell>
          <cell r="L27">
            <v>24.252920877000001</v>
          </cell>
          <cell r="M27">
            <v>24.542298083999999</v>
          </cell>
          <cell r="N27">
            <v>24.831675291</v>
          </cell>
          <cell r="O27">
            <v>25.121052498000001</v>
          </cell>
          <cell r="P27">
            <v>25.387615289999999</v>
          </cell>
          <cell r="Q27">
            <v>25.645052316000001</v>
          </cell>
          <cell r="R27">
            <v>25.902489341999999</v>
          </cell>
          <cell r="S27">
            <v>26.159926368000001</v>
          </cell>
          <cell r="T27">
            <v>26.417363393999999</v>
          </cell>
          <cell r="U27">
            <v>26.50850604</v>
          </cell>
          <cell r="V27">
            <v>26.591333967000001</v>
          </cell>
          <cell r="W27">
            <v>26.674161894000001</v>
          </cell>
          <cell r="X27">
            <v>26.756989821000001</v>
          </cell>
          <cell r="Y27">
            <v>26.880421655999999</v>
          </cell>
          <cell r="Z27">
            <v>27.176420100000001</v>
          </cell>
          <cell r="AA27">
            <v>27.472418544</v>
          </cell>
          <cell r="AB27">
            <v>27.768416987999998</v>
          </cell>
          <cell r="AC27">
            <v>28.064415432000001</v>
          </cell>
          <cell r="AD27">
            <v>28.235163629999999</v>
          </cell>
          <cell r="AE27">
            <v>28.2389115</v>
          </cell>
          <cell r="AF27">
            <v>28.242659369999998</v>
          </cell>
          <cell r="AG27">
            <v>28.24640724</v>
          </cell>
          <cell r="AH27">
            <v>28.250155110000001</v>
          </cell>
          <cell r="AI27">
            <v>28.690599240000001</v>
          </cell>
          <cell r="AJ27">
            <v>29.349391499999999</v>
          </cell>
          <cell r="AK27">
            <v>30.008183760000001</v>
          </cell>
          <cell r="AL27">
            <v>30.66697602</v>
          </cell>
          <cell r="AM27">
            <v>31.325768279999998</v>
          </cell>
          <cell r="AN27">
            <v>32.095896074999999</v>
          </cell>
          <cell r="AO27">
            <v>32.8777434</v>
          </cell>
          <cell r="AP27">
            <v>33.659590725000001</v>
          </cell>
          <cell r="AQ27">
            <v>34.441438050000002</v>
          </cell>
          <cell r="AR27">
            <v>35.130492873000001</v>
          </cell>
          <cell r="AS27">
            <v>35.262792683999997</v>
          </cell>
          <cell r="AT27">
            <v>35.395092495</v>
          </cell>
          <cell r="AU27">
            <v>35.527392306000003</v>
          </cell>
          <cell r="AV27">
            <v>35.659692116999999</v>
          </cell>
          <cell r="AW27">
            <v>35.942731655999999</v>
          </cell>
          <cell r="AX27">
            <v>36.470723253000003</v>
          </cell>
          <cell r="AY27">
            <v>36.998714849999999</v>
          </cell>
          <cell r="AZ27">
            <v>37.526706447000002</v>
          </cell>
          <cell r="BA27">
            <v>38.054698043999998</v>
          </cell>
          <cell r="BB27">
            <v>38.320697664000001</v>
          </cell>
          <cell r="BC27">
            <v>38.425471451999996</v>
          </cell>
          <cell r="BD27">
            <v>38.530245239999999</v>
          </cell>
          <cell r="BE27">
            <v>38.635019028000002</v>
          </cell>
          <cell r="BF27">
            <v>38.739792815999998</v>
          </cell>
          <cell r="BG27">
            <v>39.156317999999999</v>
          </cell>
          <cell r="BH27">
            <v>39.624801750000003</v>
          </cell>
          <cell r="BI27">
            <v>40.0932855</v>
          </cell>
          <cell r="BJ27">
            <v>40.561769249999998</v>
          </cell>
          <cell r="BK27">
            <v>41.002530659999998</v>
          </cell>
          <cell r="BL27">
            <v>41.17992984</v>
          </cell>
          <cell r="BM27">
            <v>41.357329020000002</v>
          </cell>
          <cell r="BN27">
            <v>41.534728200000004</v>
          </cell>
          <cell r="BO27">
            <v>41.712127379999998</v>
          </cell>
          <cell r="BP27">
            <v>41.968370640000003</v>
          </cell>
          <cell r="BQ27">
            <v>42.382302060000001</v>
          </cell>
          <cell r="BR27">
            <v>42.796233479999998</v>
          </cell>
          <cell r="BS27">
            <v>43.210164900000002</v>
          </cell>
          <cell r="BT27">
            <v>43.62409632</v>
          </cell>
          <cell r="BU27">
            <v>44.908747175999999</v>
          </cell>
          <cell r="BV27">
            <v>46.846437608999999</v>
          </cell>
          <cell r="BW27">
            <v>48.784128041999999</v>
          </cell>
          <cell r="BX27">
            <v>50.721818474999999</v>
          </cell>
          <cell r="BY27">
            <v>52.659508907999999</v>
          </cell>
          <cell r="BZ27">
            <v>55.197356274000001</v>
          </cell>
          <cell r="CA27">
            <v>57.876417035999999</v>
          </cell>
          <cell r="CB27">
            <v>60.555477797999998</v>
          </cell>
          <cell r="CC27">
            <v>63.234538559999997</v>
          </cell>
          <cell r="CD27">
            <v>65.805559532999993</v>
          </cell>
          <cell r="CE27">
            <v>66.215784725999995</v>
          </cell>
          <cell r="CF27">
            <v>66.626009918999998</v>
          </cell>
          <cell r="CG27">
            <v>67.036235112</v>
          </cell>
          <cell r="CH27">
            <v>67.446460305000002</v>
          </cell>
          <cell r="CI27">
            <v>68.304264462000006</v>
          </cell>
          <cell r="CJ27">
            <v>70.281016029</v>
          </cell>
          <cell r="CK27">
            <v>72.257767595999994</v>
          </cell>
          <cell r="CL27">
            <v>74.234519163000002</v>
          </cell>
          <cell r="CM27">
            <v>76.211270729999995</v>
          </cell>
          <cell r="CN27">
            <v>80.157758009999995</v>
          </cell>
          <cell r="CO27">
            <v>85.894914119999996</v>
          </cell>
          <cell r="CP27">
            <v>91.632070229999997</v>
          </cell>
          <cell r="CQ27">
            <v>97.369226340000097</v>
          </cell>
          <cell r="CR27">
            <v>103.10638245</v>
          </cell>
          <cell r="CS27">
            <v>110.6291904</v>
          </cell>
          <cell r="CT27">
            <v>118.71001455</v>
          </cell>
          <cell r="CU27">
            <v>126.79083869999999</v>
          </cell>
          <cell r="CV27">
            <v>134.87166285000001</v>
          </cell>
          <cell r="CW27">
            <v>142.95248699999999</v>
          </cell>
        </row>
        <row r="28">
          <cell r="A28" t="str">
            <v>Logan River</v>
          </cell>
          <cell r="B28">
            <v>35.989716440000002</v>
          </cell>
          <cell r="C28">
            <v>38.773500079999998</v>
          </cell>
          <cell r="D28">
            <v>41.557283720000001</v>
          </cell>
          <cell r="E28">
            <v>44.341067359999997</v>
          </cell>
          <cell r="F28">
            <v>47.124851</v>
          </cell>
          <cell r="G28">
            <v>47.184367139999999</v>
          </cell>
          <cell r="H28">
            <v>47.243883279999999</v>
          </cell>
          <cell r="I28">
            <v>47.303399419999998</v>
          </cell>
          <cell r="J28">
            <v>47.362915559999998</v>
          </cell>
          <cell r="K28">
            <v>47.422431699999997</v>
          </cell>
          <cell r="L28">
            <v>47.523876659999999</v>
          </cell>
          <cell r="M28">
            <v>47.625321620000001</v>
          </cell>
          <cell r="N28">
            <v>47.726766580000003</v>
          </cell>
          <cell r="O28">
            <v>47.828211539999998</v>
          </cell>
          <cell r="P28">
            <v>47.9296565</v>
          </cell>
          <cell r="Q28">
            <v>49.104980419999997</v>
          </cell>
          <cell r="R28">
            <v>50.280304340000001</v>
          </cell>
          <cell r="S28">
            <v>51.455628259999997</v>
          </cell>
          <cell r="T28">
            <v>52.630952180000001</v>
          </cell>
          <cell r="U28">
            <v>53.806276099999998</v>
          </cell>
          <cell r="V28">
            <v>54.42974332</v>
          </cell>
          <cell r="W28">
            <v>55.053210540000002</v>
          </cell>
          <cell r="X28">
            <v>55.676677759999997</v>
          </cell>
          <cell r="Y28">
            <v>56.300144979999999</v>
          </cell>
          <cell r="Z28">
            <v>56.923612200000001</v>
          </cell>
          <cell r="AA28">
            <v>58.192110460000002</v>
          </cell>
          <cell r="AB28">
            <v>59.460608720000003</v>
          </cell>
          <cell r="AC28">
            <v>60.729106979999997</v>
          </cell>
          <cell r="AD28">
            <v>61.997605239999999</v>
          </cell>
          <cell r="AE28">
            <v>63.2661035</v>
          </cell>
          <cell r="AF28">
            <v>63.679956574800997</v>
          </cell>
          <cell r="AG28">
            <v>64.093809649601994</v>
          </cell>
          <cell r="AH28">
            <v>64.507662724403005</v>
          </cell>
          <cell r="AI28">
            <v>64.921515799204002</v>
          </cell>
          <cell r="AJ28">
            <v>65.335368874004999</v>
          </cell>
          <cell r="AK28">
            <v>65.794963819204</v>
          </cell>
          <cell r="AL28">
            <v>66.254558764403001</v>
          </cell>
          <cell r="AM28">
            <v>66.714153709602002</v>
          </cell>
          <cell r="AN28">
            <v>67.173748654801003</v>
          </cell>
          <cell r="AO28">
            <v>67.633343600000003</v>
          </cell>
          <cell r="AP28">
            <v>69.44349622</v>
          </cell>
          <cell r="AQ28">
            <v>71.253648839999997</v>
          </cell>
          <cell r="AR28">
            <v>73.063801459999993</v>
          </cell>
          <cell r="AS28">
            <v>74.873954080000004</v>
          </cell>
          <cell r="AT28">
            <v>76.684106700000001</v>
          </cell>
          <cell r="AU28">
            <v>76.834570319999997</v>
          </cell>
          <cell r="AV28">
            <v>76.985033939999994</v>
          </cell>
          <cell r="AW28">
            <v>77.135497560000005</v>
          </cell>
          <cell r="AX28">
            <v>77.285961180000001</v>
          </cell>
          <cell r="AY28">
            <v>77.436424799999998</v>
          </cell>
          <cell r="AZ28">
            <v>78.583806339999995</v>
          </cell>
          <cell r="BA28">
            <v>79.731187879999993</v>
          </cell>
          <cell r="BB28">
            <v>80.878569420000005</v>
          </cell>
          <cell r="BC28">
            <v>82.025950960000003</v>
          </cell>
          <cell r="BD28">
            <v>83.173332500000001</v>
          </cell>
          <cell r="BE28">
            <v>83.481195760000006</v>
          </cell>
          <cell r="BF28">
            <v>83.789059019999996</v>
          </cell>
          <cell r="BG28">
            <v>84.096922280000001</v>
          </cell>
          <cell r="BH28">
            <v>84.404785540000006</v>
          </cell>
          <cell r="BI28">
            <v>84.712648799999997</v>
          </cell>
          <cell r="BJ28">
            <v>85.209898379999998</v>
          </cell>
          <cell r="BK28">
            <v>85.70714796</v>
          </cell>
          <cell r="BL28">
            <v>86.204397540000002</v>
          </cell>
          <cell r="BM28">
            <v>86.701647120000004</v>
          </cell>
          <cell r="BN28">
            <v>87.198896700000006</v>
          </cell>
          <cell r="BO28">
            <v>87.727085066541207</v>
          </cell>
          <cell r="BP28">
            <v>88.255273433082394</v>
          </cell>
          <cell r="BQ28">
            <v>88.783461799623595</v>
          </cell>
          <cell r="BR28">
            <v>89.311650166164796</v>
          </cell>
          <cell r="BS28">
            <v>89.839838532705997</v>
          </cell>
          <cell r="BT28">
            <v>90.048674426164794</v>
          </cell>
          <cell r="BU28">
            <v>90.257510319623606</v>
          </cell>
          <cell r="BV28">
            <v>90.466346213082403</v>
          </cell>
          <cell r="BW28">
            <v>90.6751821065412</v>
          </cell>
          <cell r="BX28">
            <v>90.884017999999998</v>
          </cell>
          <cell r="BY28">
            <v>91.239600159999995</v>
          </cell>
          <cell r="BZ28">
            <v>91.595182320000006</v>
          </cell>
          <cell r="CA28">
            <v>91.950764480000004</v>
          </cell>
          <cell r="CB28">
            <v>92.306346640000001</v>
          </cell>
          <cell r="CC28">
            <v>92.661928799999998</v>
          </cell>
          <cell r="CD28">
            <v>96.017114593263699</v>
          </cell>
          <cell r="CE28">
            <v>99.3723003865273</v>
          </cell>
          <cell r="CF28">
            <v>102.727486179791</v>
          </cell>
          <cell r="CG28">
            <v>106.082671973054</v>
          </cell>
          <cell r="CH28">
            <v>109.437857766318</v>
          </cell>
          <cell r="CI28">
            <v>114.42151754066801</v>
          </cell>
          <cell r="CJ28">
            <v>119.40517731501799</v>
          </cell>
          <cell r="CK28">
            <v>124.388837089368</v>
          </cell>
          <cell r="CL28">
            <v>129.372496863718</v>
          </cell>
          <cell r="CM28">
            <v>134.356156638068</v>
          </cell>
          <cell r="CN28">
            <v>141.132477710454</v>
          </cell>
          <cell r="CO28">
            <v>147.90879878284099</v>
          </cell>
          <cell r="CP28">
            <v>154.68511985522699</v>
          </cell>
          <cell r="CQ28">
            <v>161.46144092761401</v>
          </cell>
          <cell r="CR28">
            <v>168.237762</v>
          </cell>
          <cell r="CS28">
            <v>169.0797862</v>
          </cell>
          <cell r="CT28">
            <v>169.9218104</v>
          </cell>
          <cell r="CU28">
            <v>170.7638346</v>
          </cell>
          <cell r="CV28">
            <v>171.60585879999999</v>
          </cell>
          <cell r="CW28">
            <v>172.44788299999999</v>
          </cell>
        </row>
        <row r="29">
          <cell r="A29" t="str">
            <v>South Fork - Little Bear River</v>
          </cell>
          <cell r="B29">
            <v>1.0911155290800001</v>
          </cell>
          <cell r="C29">
            <v>1.1515965531600001</v>
          </cell>
          <cell r="D29">
            <v>1.2120775772400001</v>
          </cell>
          <cell r="E29">
            <v>1.2725586013200001</v>
          </cell>
          <cell r="F29">
            <v>1.3330396254000001</v>
          </cell>
          <cell r="G29">
            <v>1.3935206494800001</v>
          </cell>
          <cell r="H29">
            <v>1.4540016735600001</v>
          </cell>
          <cell r="I29">
            <v>1.5144826976400001</v>
          </cell>
          <cell r="J29">
            <v>1.5749637217200001</v>
          </cell>
          <cell r="K29">
            <v>1.6354447458000001</v>
          </cell>
          <cell r="L29">
            <v>1.6959257698800001</v>
          </cell>
          <cell r="M29">
            <v>1.7564067939600001</v>
          </cell>
          <cell r="N29">
            <v>1.8168878180400001</v>
          </cell>
          <cell r="O29">
            <v>1.8773688421200001</v>
          </cell>
          <cell r="P29">
            <v>1.9378498662000001</v>
          </cell>
          <cell r="Q29">
            <v>1.9983308902800001</v>
          </cell>
          <cell r="R29">
            <v>2.0588119143600001</v>
          </cell>
          <cell r="S29">
            <v>2.1192929384400001</v>
          </cell>
          <cell r="T29">
            <v>2.1797739625200001</v>
          </cell>
          <cell r="U29">
            <v>2.2402549866000001</v>
          </cell>
          <cell r="V29">
            <v>2.3007360106800001</v>
          </cell>
          <cell r="W29">
            <v>2.3612170347600001</v>
          </cell>
          <cell r="X29">
            <v>2.4216980588400001</v>
          </cell>
          <cell r="Y29">
            <v>2.4821790829200001</v>
          </cell>
          <cell r="Z29">
            <v>2.5426601070000001</v>
          </cell>
          <cell r="AA29">
            <v>2.56819496004</v>
          </cell>
          <cell r="AB29">
            <v>2.5937298130799999</v>
          </cell>
          <cell r="AC29">
            <v>2.6192646661199999</v>
          </cell>
          <cell r="AD29">
            <v>2.6447995191599998</v>
          </cell>
          <cell r="AE29">
            <v>2.6703343722000001</v>
          </cell>
          <cell r="AF29">
            <v>2.6958692252400001</v>
          </cell>
          <cell r="AG29">
            <v>2.72140407828</v>
          </cell>
          <cell r="AH29">
            <v>2.7469389313199999</v>
          </cell>
          <cell r="AI29">
            <v>2.7724737843599998</v>
          </cell>
          <cell r="AJ29">
            <v>2.7980086374000002</v>
          </cell>
          <cell r="AK29">
            <v>2.8235434904400001</v>
          </cell>
          <cell r="AL29">
            <v>2.84907834348</v>
          </cell>
          <cell r="AM29">
            <v>2.8746131965199999</v>
          </cell>
          <cell r="AN29">
            <v>2.9001480495599998</v>
          </cell>
          <cell r="AO29">
            <v>2.9256829026000002</v>
          </cell>
          <cell r="AP29">
            <v>2.9512177556400001</v>
          </cell>
          <cell r="AQ29">
            <v>2.97675260868</v>
          </cell>
          <cell r="AR29">
            <v>3.0022874617199999</v>
          </cell>
          <cell r="AS29">
            <v>3.0278223147599999</v>
          </cell>
          <cell r="AT29">
            <v>3.0533571678000002</v>
          </cell>
          <cell r="AU29">
            <v>3.0788920208400001</v>
          </cell>
          <cell r="AV29">
            <v>3.10442687388</v>
          </cell>
          <cell r="AW29">
            <v>3.12996172692</v>
          </cell>
          <cell r="AX29">
            <v>3.1554965799599999</v>
          </cell>
          <cell r="AY29">
            <v>3.1810314329999998</v>
          </cell>
          <cell r="AZ29">
            <v>3.2166276314400002</v>
          </cell>
          <cell r="BA29">
            <v>3.2522238298800001</v>
          </cell>
          <cell r="BB29">
            <v>3.2878200283200001</v>
          </cell>
          <cell r="BC29">
            <v>3.32341622676</v>
          </cell>
          <cell r="BD29">
            <v>3.3590124252</v>
          </cell>
          <cell r="BE29">
            <v>3.3946086236399999</v>
          </cell>
          <cell r="BF29">
            <v>3.4302048220799999</v>
          </cell>
          <cell r="BG29">
            <v>3.4658010205199998</v>
          </cell>
          <cell r="BH29">
            <v>3.5013972189599998</v>
          </cell>
          <cell r="BI29">
            <v>3.5369934174000002</v>
          </cell>
          <cell r="BJ29">
            <v>3.5725896158400001</v>
          </cell>
          <cell r="BK29">
            <v>3.6081858142800001</v>
          </cell>
          <cell r="BL29">
            <v>3.64378201272</v>
          </cell>
          <cell r="BM29">
            <v>3.67937821116</v>
          </cell>
          <cell r="BN29">
            <v>3.7149744095999999</v>
          </cell>
          <cell r="BO29">
            <v>3.7505706080399999</v>
          </cell>
          <cell r="BP29">
            <v>3.7861668064799998</v>
          </cell>
          <cell r="BQ29">
            <v>3.8217630049200002</v>
          </cell>
          <cell r="BR29">
            <v>3.8573592033600002</v>
          </cell>
          <cell r="BS29">
            <v>3.8929554018000001</v>
          </cell>
          <cell r="BT29">
            <v>3.9285516002400001</v>
          </cell>
          <cell r="BU29">
            <v>3.96414779868</v>
          </cell>
          <cell r="BV29">
            <v>3.9997439971199999</v>
          </cell>
          <cell r="BW29">
            <v>4.0353401955599999</v>
          </cell>
          <cell r="BX29">
            <v>4.0709363940000003</v>
          </cell>
          <cell r="BY29">
            <v>4.1379407741999996</v>
          </cell>
          <cell r="BZ29">
            <v>4.2049451543999998</v>
          </cell>
          <cell r="CA29">
            <v>4.2719495346</v>
          </cell>
          <cell r="CB29">
            <v>4.3389539148000003</v>
          </cell>
          <cell r="CC29">
            <v>4.4059582949999996</v>
          </cell>
          <cell r="CD29">
            <v>4.4729626751999998</v>
          </cell>
          <cell r="CE29">
            <v>4.5399670554</v>
          </cell>
          <cell r="CF29">
            <v>4.6069714356000002</v>
          </cell>
          <cell r="CG29">
            <v>4.6739758158000004</v>
          </cell>
          <cell r="CH29">
            <v>4.7409801959999998</v>
          </cell>
          <cell r="CI29">
            <v>4.8079845762</v>
          </cell>
          <cell r="CJ29">
            <v>4.8749889564000002</v>
          </cell>
          <cell r="CK29">
            <v>4.9419933366000004</v>
          </cell>
          <cell r="CL29">
            <v>5.0089977167999997</v>
          </cell>
          <cell r="CM29">
            <v>5.0760020969999999</v>
          </cell>
          <cell r="CN29">
            <v>5.1430064772000001</v>
          </cell>
          <cell r="CO29">
            <v>5.2100108574000004</v>
          </cell>
          <cell r="CP29">
            <v>5.2770152375999997</v>
          </cell>
          <cell r="CQ29">
            <v>5.3440196177999999</v>
          </cell>
          <cell r="CR29">
            <v>5.4110239980000001</v>
          </cell>
          <cell r="CS29">
            <v>5.4780283782000003</v>
          </cell>
          <cell r="CT29">
            <v>5.5450327583999997</v>
          </cell>
          <cell r="CU29">
            <v>5.6120371385999999</v>
          </cell>
          <cell r="CV29">
            <v>5.6790415188000001</v>
          </cell>
          <cell r="CW29">
            <v>5.7460458990000003</v>
          </cell>
        </row>
        <row r="33">
          <cell r="B33">
            <v>1</v>
          </cell>
          <cell r="C33">
            <v>2</v>
          </cell>
          <cell r="D33">
            <v>3</v>
          </cell>
          <cell r="E33">
            <v>4</v>
          </cell>
          <cell r="F33">
            <v>5</v>
          </cell>
          <cell r="G33">
            <v>6</v>
          </cell>
          <cell r="H33">
            <v>7</v>
          </cell>
          <cell r="I33">
            <v>8</v>
          </cell>
          <cell r="J33">
            <v>9</v>
          </cell>
          <cell r="K33">
            <v>10</v>
          </cell>
          <cell r="L33">
            <v>11</v>
          </cell>
          <cell r="M33">
            <v>12</v>
          </cell>
          <cell r="N33">
            <v>13</v>
          </cell>
          <cell r="O33">
            <v>14</v>
          </cell>
          <cell r="P33">
            <v>15</v>
          </cell>
          <cell r="Q33">
            <v>16</v>
          </cell>
          <cell r="R33">
            <v>17</v>
          </cell>
          <cell r="S33">
            <v>18</v>
          </cell>
          <cell r="T33">
            <v>19</v>
          </cell>
          <cell r="U33">
            <v>20</v>
          </cell>
          <cell r="V33">
            <v>21</v>
          </cell>
          <cell r="W33">
            <v>22</v>
          </cell>
          <cell r="X33">
            <v>23</v>
          </cell>
          <cell r="Y33">
            <v>24</v>
          </cell>
          <cell r="Z33">
            <v>25</v>
          </cell>
          <cell r="AA33">
            <v>26</v>
          </cell>
          <cell r="AB33">
            <v>27</v>
          </cell>
          <cell r="AC33">
            <v>28</v>
          </cell>
          <cell r="AD33">
            <v>29</v>
          </cell>
          <cell r="AE33">
            <v>30</v>
          </cell>
          <cell r="AF33">
            <v>31</v>
          </cell>
          <cell r="AG33">
            <v>32</v>
          </cell>
          <cell r="AH33">
            <v>33</v>
          </cell>
          <cell r="AI33">
            <v>34</v>
          </cell>
          <cell r="AJ33">
            <v>35</v>
          </cell>
          <cell r="AK33">
            <v>36</v>
          </cell>
          <cell r="AL33">
            <v>37</v>
          </cell>
          <cell r="AM33">
            <v>38</v>
          </cell>
          <cell r="AN33">
            <v>39</v>
          </cell>
          <cell r="AO33">
            <v>40</v>
          </cell>
          <cell r="AP33">
            <v>41</v>
          </cell>
          <cell r="AQ33">
            <v>42</v>
          </cell>
          <cell r="AR33">
            <v>43</v>
          </cell>
          <cell r="AS33">
            <v>44</v>
          </cell>
          <cell r="AT33">
            <v>45</v>
          </cell>
          <cell r="AU33">
            <v>46</v>
          </cell>
          <cell r="AV33">
            <v>47</v>
          </cell>
          <cell r="AW33">
            <v>48</v>
          </cell>
          <cell r="AX33">
            <v>49</v>
          </cell>
          <cell r="AY33">
            <v>50</v>
          </cell>
          <cell r="AZ33">
            <v>51</v>
          </cell>
          <cell r="BA33">
            <v>52</v>
          </cell>
          <cell r="BB33">
            <v>53</v>
          </cell>
          <cell r="BC33">
            <v>54</v>
          </cell>
          <cell r="BD33">
            <v>55</v>
          </cell>
          <cell r="BE33">
            <v>56</v>
          </cell>
          <cell r="BF33">
            <v>57</v>
          </cell>
          <cell r="BG33">
            <v>58</v>
          </cell>
          <cell r="BH33">
            <v>59</v>
          </cell>
          <cell r="BI33">
            <v>60</v>
          </cell>
          <cell r="BJ33">
            <v>61</v>
          </cell>
          <cell r="BK33">
            <v>62</v>
          </cell>
          <cell r="BL33">
            <v>63</v>
          </cell>
          <cell r="BM33">
            <v>64</v>
          </cell>
          <cell r="BN33">
            <v>65</v>
          </cell>
          <cell r="BO33">
            <v>66</v>
          </cell>
          <cell r="BP33">
            <v>67</v>
          </cell>
          <cell r="BQ33">
            <v>68</v>
          </cell>
          <cell r="BR33">
            <v>69</v>
          </cell>
          <cell r="BS33">
            <v>70</v>
          </cell>
          <cell r="BT33">
            <v>71</v>
          </cell>
          <cell r="BU33">
            <v>72</v>
          </cell>
          <cell r="BV33">
            <v>73</v>
          </cell>
          <cell r="BW33">
            <v>74</v>
          </cell>
          <cell r="BX33">
            <v>75</v>
          </cell>
          <cell r="BY33">
            <v>76</v>
          </cell>
          <cell r="BZ33">
            <v>77</v>
          </cell>
          <cell r="CA33">
            <v>78</v>
          </cell>
          <cell r="CB33">
            <v>79</v>
          </cell>
          <cell r="CC33">
            <v>80</v>
          </cell>
          <cell r="CD33">
            <v>81</v>
          </cell>
          <cell r="CE33">
            <v>82</v>
          </cell>
          <cell r="CF33">
            <v>83</v>
          </cell>
          <cell r="CG33">
            <v>84</v>
          </cell>
          <cell r="CH33">
            <v>85</v>
          </cell>
          <cell r="CI33">
            <v>86</v>
          </cell>
          <cell r="CJ33">
            <v>87</v>
          </cell>
          <cell r="CK33">
            <v>88</v>
          </cell>
          <cell r="CL33">
            <v>89</v>
          </cell>
          <cell r="CM33">
            <v>90</v>
          </cell>
          <cell r="CN33">
            <v>91</v>
          </cell>
          <cell r="CO33">
            <v>92</v>
          </cell>
          <cell r="CP33">
            <v>93</v>
          </cell>
          <cell r="CQ33">
            <v>94</v>
          </cell>
          <cell r="CR33">
            <v>95</v>
          </cell>
          <cell r="CS33">
            <v>96</v>
          </cell>
          <cell r="CT33">
            <v>97</v>
          </cell>
          <cell r="CU33">
            <v>98</v>
          </cell>
          <cell r="CV33">
            <v>99</v>
          </cell>
          <cell r="CW33">
            <v>100</v>
          </cell>
        </row>
        <row r="34">
          <cell r="A34" t="str">
            <v>East Fork - Little Bear River</v>
          </cell>
          <cell r="B34">
            <v>0.20773209827144701</v>
          </cell>
          <cell r="C34">
            <v>0.20773209827144701</v>
          </cell>
          <cell r="D34">
            <v>0.20773209827144701</v>
          </cell>
          <cell r="E34">
            <v>0.20773209827144701</v>
          </cell>
          <cell r="F34">
            <v>0.20773209827144701</v>
          </cell>
          <cell r="G34">
            <v>0.20773209827144701</v>
          </cell>
          <cell r="H34">
            <v>0.20773209827144701</v>
          </cell>
          <cell r="I34">
            <v>0.20773209827144701</v>
          </cell>
          <cell r="J34">
            <v>0.20773209827144701</v>
          </cell>
          <cell r="K34">
            <v>0.20773209827144701</v>
          </cell>
          <cell r="L34">
            <v>0.20773209827144701</v>
          </cell>
          <cell r="M34">
            <v>0.20773209827144701</v>
          </cell>
          <cell r="N34">
            <v>0.20773209827144701</v>
          </cell>
          <cell r="O34">
            <v>0.20773209827144701</v>
          </cell>
          <cell r="P34">
            <v>0.20773209827144701</v>
          </cell>
          <cell r="Q34">
            <v>0.20773209827144701</v>
          </cell>
          <cell r="R34">
            <v>0.20773209827144701</v>
          </cell>
          <cell r="S34">
            <v>0.20773209827144701</v>
          </cell>
          <cell r="T34">
            <v>0.20773209827144701</v>
          </cell>
          <cell r="U34">
            <v>0.20773209827144701</v>
          </cell>
          <cell r="V34">
            <v>0.20773209827144701</v>
          </cell>
          <cell r="W34">
            <v>0.20773209827144701</v>
          </cell>
          <cell r="X34">
            <v>0.20773209827144701</v>
          </cell>
          <cell r="Y34">
            <v>0.20773209827144701</v>
          </cell>
          <cell r="Z34">
            <v>0.20773209827144701</v>
          </cell>
          <cell r="AA34">
            <v>0.20773209827144701</v>
          </cell>
          <cell r="AB34">
            <v>0.20773209827144701</v>
          </cell>
          <cell r="AC34">
            <v>0.20773209827144701</v>
          </cell>
          <cell r="AD34">
            <v>0.20773209827144701</v>
          </cell>
          <cell r="AE34">
            <v>0.20773209827144701</v>
          </cell>
          <cell r="AF34">
            <v>0.20773209827144701</v>
          </cell>
          <cell r="AG34">
            <v>0.20773209827144701</v>
          </cell>
          <cell r="AH34">
            <v>0.20773209827144701</v>
          </cell>
          <cell r="AI34">
            <v>0.20773209827144701</v>
          </cell>
          <cell r="AJ34">
            <v>0.20773209827144701</v>
          </cell>
          <cell r="AK34">
            <v>0.20773209827144701</v>
          </cell>
          <cell r="AL34">
            <v>0.20773209827144701</v>
          </cell>
          <cell r="AM34">
            <v>0.20773209827144701</v>
          </cell>
          <cell r="AN34">
            <v>0.20773209827144701</v>
          </cell>
          <cell r="AO34">
            <v>0.20773209827144701</v>
          </cell>
          <cell r="AP34">
            <v>0.20773209827144701</v>
          </cell>
          <cell r="AQ34">
            <v>0.20773209827144701</v>
          </cell>
          <cell r="AR34">
            <v>0.20773209827144701</v>
          </cell>
          <cell r="AS34">
            <v>0.20773209827144701</v>
          </cell>
          <cell r="AT34">
            <v>0.20773209827144701</v>
          </cell>
          <cell r="AU34">
            <v>0.20773209827144701</v>
          </cell>
          <cell r="AV34">
            <v>0.20773209827144701</v>
          </cell>
          <cell r="AW34">
            <v>0.20773209827144701</v>
          </cell>
          <cell r="AX34">
            <v>0.20773209827144701</v>
          </cell>
          <cell r="AY34">
            <v>0.20773209827144701</v>
          </cell>
          <cell r="AZ34">
            <v>0.20773209827144701</v>
          </cell>
          <cell r="BA34">
            <v>0.20773209827144701</v>
          </cell>
          <cell r="BB34">
            <v>0.20773209827144701</v>
          </cell>
          <cell r="BC34">
            <v>0.20773209827144701</v>
          </cell>
          <cell r="BD34">
            <v>0.20773209827144701</v>
          </cell>
          <cell r="BE34">
            <v>0.20773209827144701</v>
          </cell>
          <cell r="BF34">
            <v>0.20773209827144701</v>
          </cell>
          <cell r="BG34">
            <v>0.20773209827144701</v>
          </cell>
          <cell r="BH34">
            <v>0.20773209827144701</v>
          </cell>
          <cell r="BI34">
            <v>0.20773209827144701</v>
          </cell>
          <cell r="BJ34">
            <v>0.20773209827144701</v>
          </cell>
          <cell r="BK34">
            <v>0.20773209827144701</v>
          </cell>
          <cell r="BL34">
            <v>0.20773209827144701</v>
          </cell>
          <cell r="BM34">
            <v>0.20773209827144701</v>
          </cell>
          <cell r="BN34">
            <v>0.20773209827144701</v>
          </cell>
          <cell r="BO34">
            <v>0.20773209827144701</v>
          </cell>
          <cell r="BP34">
            <v>0.20773209827144701</v>
          </cell>
          <cell r="BQ34">
            <v>0.20773209827144701</v>
          </cell>
          <cell r="BR34">
            <v>0.20773209827144701</v>
          </cell>
          <cell r="BS34">
            <v>0.20773209827144701</v>
          </cell>
          <cell r="BT34">
            <v>0.20773209827144701</v>
          </cell>
          <cell r="BU34">
            <v>0.20773209827144701</v>
          </cell>
          <cell r="BV34">
            <v>0.20773209827144701</v>
          </cell>
          <cell r="BW34">
            <v>0.20773209827144701</v>
          </cell>
          <cell r="BX34">
            <v>0.20773209827144701</v>
          </cell>
          <cell r="BY34">
            <v>0.20773209827144701</v>
          </cell>
          <cell r="BZ34">
            <v>0.20773209827144701</v>
          </cell>
          <cell r="CA34">
            <v>0.20773209827144701</v>
          </cell>
          <cell r="CB34">
            <v>0.20773209827144701</v>
          </cell>
          <cell r="CC34">
            <v>0.20773209827144701</v>
          </cell>
          <cell r="CD34">
            <v>0.20773209827144701</v>
          </cell>
          <cell r="CE34">
            <v>0.20773209827144701</v>
          </cell>
          <cell r="CF34">
            <v>0.20773209827144701</v>
          </cell>
          <cell r="CG34">
            <v>0.20773209827144701</v>
          </cell>
          <cell r="CH34">
            <v>0.20773209827144701</v>
          </cell>
          <cell r="CI34">
            <v>0.20773209827144701</v>
          </cell>
          <cell r="CJ34">
            <v>0.20773209827144701</v>
          </cell>
          <cell r="CK34">
            <v>0.20773209827144701</v>
          </cell>
          <cell r="CL34">
            <v>0.20773209827144701</v>
          </cell>
          <cell r="CM34">
            <v>0.20773209827144701</v>
          </cell>
          <cell r="CN34">
            <v>0.20773209827144701</v>
          </cell>
          <cell r="CO34">
            <v>0.20773209827144701</v>
          </cell>
          <cell r="CP34">
            <v>0.20773209827144701</v>
          </cell>
          <cell r="CQ34">
            <v>0.20773209827144701</v>
          </cell>
          <cell r="CR34">
            <v>0.20773209827144701</v>
          </cell>
          <cell r="CS34">
            <v>0.20773209827144701</v>
          </cell>
          <cell r="CT34">
            <v>0.20773209827144701</v>
          </cell>
          <cell r="CU34">
            <v>0.20773209827144701</v>
          </cell>
          <cell r="CV34">
            <v>0.20773209827144701</v>
          </cell>
          <cell r="CW34">
            <v>0.20773209827144701</v>
          </cell>
        </row>
        <row r="35">
          <cell r="A35" t="str">
            <v>Blacksmith  Fork</v>
          </cell>
          <cell r="B35">
            <v>10.973529365999999</v>
          </cell>
          <cell r="C35">
            <v>12.825060432000001</v>
          </cell>
          <cell r="D35">
            <v>14.676591498000001</v>
          </cell>
          <cell r="E35">
            <v>16.528122564</v>
          </cell>
          <cell r="F35">
            <v>18.041829750000002</v>
          </cell>
          <cell r="G35">
            <v>18.474500519999999</v>
          </cell>
          <cell r="H35">
            <v>18.907171290000001</v>
          </cell>
          <cell r="I35">
            <v>19.339842059999999</v>
          </cell>
          <cell r="J35">
            <v>19.77251283</v>
          </cell>
          <cell r="K35">
            <v>20.060523750000002</v>
          </cell>
          <cell r="L35">
            <v>20.189408834999998</v>
          </cell>
          <cell r="M35">
            <v>20.318293919999999</v>
          </cell>
          <cell r="N35">
            <v>20.447179004999999</v>
          </cell>
          <cell r="O35">
            <v>20.576064089999999</v>
          </cell>
          <cell r="P35">
            <v>20.621306234999999</v>
          </cell>
          <cell r="Q35">
            <v>20.633091203999999</v>
          </cell>
          <cell r="R35">
            <v>20.644876173</v>
          </cell>
          <cell r="S35">
            <v>20.656661142000001</v>
          </cell>
          <cell r="T35">
            <v>20.668446111000002</v>
          </cell>
          <cell r="U35">
            <v>20.696214059999999</v>
          </cell>
          <cell r="V35">
            <v>20.724781157999999</v>
          </cell>
          <cell r="W35">
            <v>20.753348255999999</v>
          </cell>
          <cell r="X35">
            <v>20.781915353999999</v>
          </cell>
          <cell r="Y35">
            <v>20.808182171999999</v>
          </cell>
          <cell r="Z35">
            <v>20.824672799999998</v>
          </cell>
          <cell r="AA35">
            <v>20.841163428000002</v>
          </cell>
          <cell r="AB35">
            <v>20.857654056000001</v>
          </cell>
          <cell r="AC35">
            <v>20.874144684000001</v>
          </cell>
          <cell r="AD35">
            <v>20.899576659000001</v>
          </cell>
          <cell r="AE35">
            <v>20.93693043</v>
          </cell>
          <cell r="AF35">
            <v>20.974284201</v>
          </cell>
          <cell r="AG35">
            <v>21.011637971999999</v>
          </cell>
          <cell r="AH35">
            <v>21.048991742999998</v>
          </cell>
          <cell r="AI35">
            <v>21.330262445999999</v>
          </cell>
          <cell r="AJ35">
            <v>21.733491614999998</v>
          </cell>
          <cell r="AK35">
            <v>22.136720784000001</v>
          </cell>
          <cell r="AL35">
            <v>22.539949953000001</v>
          </cell>
          <cell r="AM35">
            <v>22.943179122</v>
          </cell>
          <cell r="AN35">
            <v>23.149470611999998</v>
          </cell>
          <cell r="AO35">
            <v>23.335031820000001</v>
          </cell>
          <cell r="AP35">
            <v>23.520593028</v>
          </cell>
          <cell r="AQ35">
            <v>23.706154236</v>
          </cell>
          <cell r="AR35">
            <v>23.892661335</v>
          </cell>
          <cell r="AS35">
            <v>24.08484378</v>
          </cell>
          <cell r="AT35">
            <v>24.277026225</v>
          </cell>
          <cell r="AU35">
            <v>24.46920867</v>
          </cell>
          <cell r="AV35">
            <v>24.661391115000001</v>
          </cell>
          <cell r="AW35">
            <v>24.858570719999999</v>
          </cell>
          <cell r="AX35">
            <v>25.06387071</v>
          </cell>
          <cell r="AY35">
            <v>25.2691707</v>
          </cell>
          <cell r="AZ35">
            <v>25.47447069</v>
          </cell>
          <cell r="BA35">
            <v>25.679770680000001</v>
          </cell>
          <cell r="BB35">
            <v>25.788554093999998</v>
          </cell>
          <cell r="BC35">
            <v>25.837942691999999</v>
          </cell>
          <cell r="BD35">
            <v>25.887331289999999</v>
          </cell>
          <cell r="BE35">
            <v>25.936719887999999</v>
          </cell>
          <cell r="BF35">
            <v>25.986108485999999</v>
          </cell>
          <cell r="BG35">
            <v>26.045776956000001</v>
          </cell>
          <cell r="BH35">
            <v>26.107158737999999</v>
          </cell>
          <cell r="BI35">
            <v>26.168540520000001</v>
          </cell>
          <cell r="BJ35">
            <v>26.229922301999999</v>
          </cell>
          <cell r="BK35">
            <v>26.287742615999999</v>
          </cell>
          <cell r="BL35">
            <v>26.311728983999998</v>
          </cell>
          <cell r="BM35">
            <v>26.335715352000001</v>
          </cell>
          <cell r="BN35">
            <v>26.35970172</v>
          </cell>
          <cell r="BO35">
            <v>26.383688088</v>
          </cell>
          <cell r="BP35">
            <v>26.663889953999998</v>
          </cell>
          <cell r="BQ35">
            <v>27.456522816</v>
          </cell>
          <cell r="BR35">
            <v>28.249155678000001</v>
          </cell>
          <cell r="BS35">
            <v>29.041788539999999</v>
          </cell>
          <cell r="BT35">
            <v>29.834421402</v>
          </cell>
          <cell r="BU35">
            <v>30.340526627999999</v>
          </cell>
          <cell r="BV35">
            <v>30.631736127</v>
          </cell>
          <cell r="BW35">
            <v>30.922945626000001</v>
          </cell>
          <cell r="BX35">
            <v>31.214155125000001</v>
          </cell>
          <cell r="BY35">
            <v>31.505364623999998</v>
          </cell>
          <cell r="BZ35">
            <v>31.607927366999998</v>
          </cell>
          <cell r="CA35">
            <v>31.666102638000002</v>
          </cell>
          <cell r="CB35">
            <v>31.724277909000001</v>
          </cell>
          <cell r="CC35">
            <v>31.782453180000001</v>
          </cell>
          <cell r="CD35">
            <v>31.850265831000002</v>
          </cell>
          <cell r="CE35">
            <v>32.110826082000003</v>
          </cell>
          <cell r="CF35">
            <v>32.371386332999997</v>
          </cell>
          <cell r="CG35">
            <v>32.631946583999998</v>
          </cell>
          <cell r="CH35">
            <v>32.892506834999999</v>
          </cell>
          <cell r="CI35">
            <v>33.502368570000002</v>
          </cell>
          <cell r="CJ35">
            <v>34.985484014999997</v>
          </cell>
          <cell r="CK35">
            <v>36.46859946</v>
          </cell>
          <cell r="CL35">
            <v>37.951714905000003</v>
          </cell>
          <cell r="CM35">
            <v>39.434830349999999</v>
          </cell>
          <cell r="CN35">
            <v>40.973285376</v>
          </cell>
          <cell r="CO35">
            <v>42.562049111999997</v>
          </cell>
          <cell r="CP35">
            <v>44.150812848000001</v>
          </cell>
          <cell r="CQ35">
            <v>45.739576583999998</v>
          </cell>
          <cell r="CR35">
            <v>47.328340320000002</v>
          </cell>
          <cell r="CS35">
            <v>48.101250264000001</v>
          </cell>
          <cell r="CT35">
            <v>48.619205897999997</v>
          </cell>
          <cell r="CU35">
            <v>49.137161532</v>
          </cell>
          <cell r="CV35">
            <v>49.655117165999997</v>
          </cell>
          <cell r="CW35">
            <v>50.1730728</v>
          </cell>
        </row>
        <row r="36">
          <cell r="A36" t="str">
            <v>Logan River</v>
          </cell>
          <cell r="B36">
            <v>16.856523228</v>
          </cell>
          <cell r="C36">
            <v>20.191960955999999</v>
          </cell>
          <cell r="D36">
            <v>23.527398684000001</v>
          </cell>
          <cell r="E36">
            <v>26.862836412</v>
          </cell>
          <cell r="F36">
            <v>29.439112335000001</v>
          </cell>
          <cell r="G36">
            <v>29.586070482</v>
          </cell>
          <cell r="H36">
            <v>29.733028629</v>
          </cell>
          <cell r="I36">
            <v>29.879986775999999</v>
          </cell>
          <cell r="J36">
            <v>30.026944922999999</v>
          </cell>
          <cell r="K36">
            <v>30.117288420000001</v>
          </cell>
          <cell r="L36">
            <v>30.145355802000001</v>
          </cell>
          <cell r="M36">
            <v>30.173423184000001</v>
          </cell>
          <cell r="N36">
            <v>30.201490566</v>
          </cell>
          <cell r="O36">
            <v>30.229557948</v>
          </cell>
          <cell r="P36">
            <v>30.372441030000001</v>
          </cell>
          <cell r="Q36">
            <v>30.561250392000002</v>
          </cell>
          <cell r="R36">
            <v>30.750059753999999</v>
          </cell>
          <cell r="S36">
            <v>30.938869115999999</v>
          </cell>
          <cell r="T36">
            <v>31.127678478</v>
          </cell>
          <cell r="U36">
            <v>31.42686162</v>
          </cell>
          <cell r="V36">
            <v>31.731563451</v>
          </cell>
          <cell r="W36">
            <v>32.036265282000002</v>
          </cell>
          <cell r="X36">
            <v>32.340967112999998</v>
          </cell>
          <cell r="Y36">
            <v>32.596823688000001</v>
          </cell>
          <cell r="Z36">
            <v>32.645087924999999</v>
          </cell>
          <cell r="AA36">
            <v>32.693352161999996</v>
          </cell>
          <cell r="AB36">
            <v>32.741616399000002</v>
          </cell>
          <cell r="AC36">
            <v>32.789880635999999</v>
          </cell>
          <cell r="AD36">
            <v>32.898003711000001</v>
          </cell>
          <cell r="AE36">
            <v>33.085938570000003</v>
          </cell>
          <cell r="AF36">
            <v>33.273873428999998</v>
          </cell>
          <cell r="AG36">
            <v>33.461808288</v>
          </cell>
          <cell r="AH36">
            <v>33.649743147000002</v>
          </cell>
          <cell r="AI36">
            <v>33.765135899999997</v>
          </cell>
          <cell r="AJ36">
            <v>33.844257599999999</v>
          </cell>
          <cell r="AK36">
            <v>33.923379300000001</v>
          </cell>
          <cell r="AL36">
            <v>34.002501000000002</v>
          </cell>
          <cell r="AM36">
            <v>34.081622699999997</v>
          </cell>
          <cell r="AN36">
            <v>34.582425383999997</v>
          </cell>
          <cell r="AO36">
            <v>35.127615540000001</v>
          </cell>
          <cell r="AP36">
            <v>35.672805695999998</v>
          </cell>
          <cell r="AQ36">
            <v>36.217995852000001</v>
          </cell>
          <cell r="AR36">
            <v>36.687449289</v>
          </cell>
          <cell r="AS36">
            <v>36.702482412000002</v>
          </cell>
          <cell r="AT36">
            <v>36.717515534999997</v>
          </cell>
          <cell r="AU36">
            <v>36.732548657999999</v>
          </cell>
          <cell r="AV36">
            <v>36.747581781000001</v>
          </cell>
          <cell r="AW36">
            <v>36.757617744000001</v>
          </cell>
          <cell r="AX36">
            <v>36.759533322000003</v>
          </cell>
          <cell r="AY36">
            <v>36.761448899999998</v>
          </cell>
          <cell r="AZ36">
            <v>36.763364478</v>
          </cell>
          <cell r="BA36">
            <v>36.765280056000002</v>
          </cell>
          <cell r="BB36">
            <v>36.859587570000002</v>
          </cell>
          <cell r="BC36">
            <v>37.010751659999997</v>
          </cell>
          <cell r="BD36">
            <v>37.161915749999999</v>
          </cell>
          <cell r="BE36">
            <v>37.31307984</v>
          </cell>
          <cell r="BF36">
            <v>37.464243930000002</v>
          </cell>
          <cell r="BG36">
            <v>37.683333701999999</v>
          </cell>
          <cell r="BH36">
            <v>37.913744420999997</v>
          </cell>
          <cell r="BI36">
            <v>38.144155140000002</v>
          </cell>
          <cell r="BJ36">
            <v>38.374565859000001</v>
          </cell>
          <cell r="BK36">
            <v>38.619408851999999</v>
          </cell>
          <cell r="BL36">
            <v>39.001358447999998</v>
          </cell>
          <cell r="BM36">
            <v>39.383308044000003</v>
          </cell>
          <cell r="BN36">
            <v>39.765257640000002</v>
          </cell>
          <cell r="BO36">
            <v>40.147207236</v>
          </cell>
          <cell r="BP36">
            <v>40.423605707999997</v>
          </cell>
          <cell r="BQ36">
            <v>40.488901931999997</v>
          </cell>
          <cell r="BR36">
            <v>40.554198155999998</v>
          </cell>
          <cell r="BS36">
            <v>40.619494379999999</v>
          </cell>
          <cell r="BT36">
            <v>40.684790604</v>
          </cell>
          <cell r="BU36">
            <v>40.914469596000004</v>
          </cell>
          <cell r="BV36">
            <v>41.267435663999997</v>
          </cell>
          <cell r="BW36">
            <v>41.620401731999998</v>
          </cell>
          <cell r="BX36">
            <v>41.973367799999998</v>
          </cell>
          <cell r="BY36">
            <v>42.326333867999999</v>
          </cell>
          <cell r="BZ36">
            <v>42.394104876</v>
          </cell>
          <cell r="CA36">
            <v>42.394771163999998</v>
          </cell>
          <cell r="CB36">
            <v>42.395437452000003</v>
          </cell>
          <cell r="CC36">
            <v>42.396103740000001</v>
          </cell>
          <cell r="CD36">
            <v>42.501656847</v>
          </cell>
          <cell r="CE36">
            <v>44.704946333999999</v>
          </cell>
          <cell r="CF36">
            <v>46.908235820999998</v>
          </cell>
          <cell r="CG36">
            <v>49.111525307999997</v>
          </cell>
          <cell r="CH36">
            <v>51.314814794999997</v>
          </cell>
          <cell r="CI36">
            <v>53.115249900000002</v>
          </cell>
          <cell r="CJ36">
            <v>53.908549049999998</v>
          </cell>
          <cell r="CK36">
            <v>54.701848200000001</v>
          </cell>
          <cell r="CL36">
            <v>55.495147350000003</v>
          </cell>
          <cell r="CM36">
            <v>56.288446499999999</v>
          </cell>
          <cell r="CN36">
            <v>57.871376249999997</v>
          </cell>
          <cell r="CO36">
            <v>60.172151999999997</v>
          </cell>
          <cell r="CP36">
            <v>62.472927749999997</v>
          </cell>
          <cell r="CQ36">
            <v>64.773703499999996</v>
          </cell>
          <cell r="CR36">
            <v>67.074479249999996</v>
          </cell>
          <cell r="CS36">
            <v>67.655914679999995</v>
          </cell>
          <cell r="CT36">
            <v>67.700056259999997</v>
          </cell>
          <cell r="CU36">
            <v>67.744197839999998</v>
          </cell>
          <cell r="CV36">
            <v>67.78833942</v>
          </cell>
          <cell r="CW36">
            <v>67.832481000000001</v>
          </cell>
        </row>
        <row r="37">
          <cell r="A37" t="str">
            <v>South Fork - Little Bear River</v>
          </cell>
          <cell r="B37">
            <v>2.3972358104999998</v>
          </cell>
          <cell r="C37">
            <v>2.4052104449999998</v>
          </cell>
          <cell r="D37">
            <v>2.4131850794999998</v>
          </cell>
          <cell r="E37">
            <v>2.4211597139999999</v>
          </cell>
          <cell r="F37">
            <v>2.4291343484999999</v>
          </cell>
          <cell r="G37">
            <v>2.4371089829999999</v>
          </cell>
          <cell r="H37">
            <v>2.4450836174999999</v>
          </cell>
          <cell r="I37">
            <v>2.4530582519999999</v>
          </cell>
          <cell r="J37">
            <v>2.4610328865</v>
          </cell>
          <cell r="K37">
            <v>2.469007521</v>
          </cell>
          <cell r="L37">
            <v>2.4769821555</v>
          </cell>
          <cell r="M37">
            <v>2.48495679</v>
          </cell>
          <cell r="N37">
            <v>2.4929314245</v>
          </cell>
          <cell r="O37">
            <v>2.5009060590000001</v>
          </cell>
          <cell r="P37">
            <v>2.5088806935000001</v>
          </cell>
          <cell r="Q37">
            <v>2.5168553280000001</v>
          </cell>
          <cell r="R37">
            <v>2.5248299625000001</v>
          </cell>
          <cell r="S37">
            <v>2.5328045970000002</v>
          </cell>
          <cell r="T37">
            <v>2.5407792315000002</v>
          </cell>
          <cell r="U37">
            <v>2.5487538660000002</v>
          </cell>
          <cell r="V37">
            <v>2.5567285004999998</v>
          </cell>
          <cell r="W37">
            <v>2.5647031349999998</v>
          </cell>
          <cell r="X37">
            <v>2.5726777694999998</v>
          </cell>
          <cell r="Y37">
            <v>2.5806524039999998</v>
          </cell>
          <cell r="Z37">
            <v>2.5886270384999999</v>
          </cell>
          <cell r="AA37">
            <v>2.5966016729999999</v>
          </cell>
          <cell r="AB37">
            <v>2.6045763074999999</v>
          </cell>
          <cell r="AC37">
            <v>2.6125509419999999</v>
          </cell>
          <cell r="AD37">
            <v>2.6205255765</v>
          </cell>
          <cell r="AE37">
            <v>2.628500211</v>
          </cell>
          <cell r="AF37">
            <v>2.6364748455</v>
          </cell>
          <cell r="AG37">
            <v>2.64444948</v>
          </cell>
          <cell r="AH37">
            <v>2.6524241145</v>
          </cell>
          <cell r="AI37">
            <v>2.6628468814800001</v>
          </cell>
          <cell r="AJ37">
            <v>2.6744937147000001</v>
          </cell>
          <cell r="AK37">
            <v>2.68614054792</v>
          </cell>
          <cell r="AL37">
            <v>2.6977873811399999</v>
          </cell>
          <cell r="AM37">
            <v>2.7094342143599999</v>
          </cell>
          <cell r="AN37">
            <v>2.7210810475799998</v>
          </cell>
          <cell r="AO37">
            <v>2.7327278808000002</v>
          </cell>
          <cell r="AP37">
            <v>2.7443747140200001</v>
          </cell>
          <cell r="AQ37">
            <v>2.75602154724</v>
          </cell>
          <cell r="AR37">
            <v>2.76766838046</v>
          </cell>
          <cell r="AS37">
            <v>2.7793152136799999</v>
          </cell>
          <cell r="AT37">
            <v>2.7909620468999998</v>
          </cell>
          <cell r="AU37">
            <v>2.8026088801200002</v>
          </cell>
          <cell r="AV37">
            <v>2.8142557133400001</v>
          </cell>
          <cell r="AW37">
            <v>2.8259025465600001</v>
          </cell>
          <cell r="AX37">
            <v>2.83754937978</v>
          </cell>
          <cell r="AY37">
            <v>2.8491962129999999</v>
          </cell>
          <cell r="AZ37">
            <v>2.8608430462199999</v>
          </cell>
          <cell r="BA37">
            <v>2.8724898794399998</v>
          </cell>
          <cell r="BB37">
            <v>2.8841367126600002</v>
          </cell>
          <cell r="BC37">
            <v>2.8957835458800001</v>
          </cell>
          <cell r="BD37">
            <v>2.9074303791</v>
          </cell>
          <cell r="BE37">
            <v>2.9190772123199999</v>
          </cell>
          <cell r="BF37">
            <v>2.9307240455399999</v>
          </cell>
          <cell r="BG37">
            <v>2.9423708787599998</v>
          </cell>
          <cell r="BH37">
            <v>2.9540177119800002</v>
          </cell>
          <cell r="BI37">
            <v>2.9656645452000001</v>
          </cell>
          <cell r="BJ37">
            <v>2.97731137842</v>
          </cell>
          <cell r="BK37">
            <v>2.98895821164</v>
          </cell>
          <cell r="BL37">
            <v>3.0006050448599999</v>
          </cell>
          <cell r="BM37">
            <v>3.0122518780799998</v>
          </cell>
          <cell r="BN37">
            <v>3.0238987113000002</v>
          </cell>
          <cell r="BO37">
            <v>3.0355455445200001</v>
          </cell>
          <cell r="BP37">
            <v>3.0469520777999999</v>
          </cell>
          <cell r="BQ37">
            <v>3.0578780112000001</v>
          </cell>
          <cell r="BR37">
            <v>3.0688039445999999</v>
          </cell>
          <cell r="BS37">
            <v>3.0797298780000002</v>
          </cell>
          <cell r="BT37">
            <v>3.0906558114</v>
          </cell>
          <cell r="BU37">
            <v>3.1015817447999998</v>
          </cell>
          <cell r="BV37">
            <v>3.1125076782000001</v>
          </cell>
          <cell r="BW37">
            <v>3.1234336115999999</v>
          </cell>
          <cell r="BX37">
            <v>3.1343595450000001</v>
          </cell>
          <cell r="BY37">
            <v>3.1452854783999999</v>
          </cell>
          <cell r="BZ37">
            <v>3.1562114118000002</v>
          </cell>
          <cell r="CA37">
            <v>3.1671373452</v>
          </cell>
          <cell r="CB37">
            <v>3.1780632785999998</v>
          </cell>
          <cell r="CC37">
            <v>3.1889892120000001</v>
          </cell>
          <cell r="CD37">
            <v>3.1999151453999999</v>
          </cell>
          <cell r="CE37">
            <v>3.2108410788000001</v>
          </cell>
          <cell r="CF37">
            <v>3.2217670121999999</v>
          </cell>
          <cell r="CG37">
            <v>3.2326929456000002</v>
          </cell>
          <cell r="CH37">
            <v>3.243618879</v>
          </cell>
          <cell r="CI37">
            <v>3.2545448123999998</v>
          </cell>
          <cell r="CJ37">
            <v>3.2654707458000001</v>
          </cell>
          <cell r="CK37">
            <v>3.2763966791999999</v>
          </cell>
          <cell r="CL37">
            <v>3.2873226126000001</v>
          </cell>
          <cell r="CM37">
            <v>3.2982485459999999</v>
          </cell>
          <cell r="CN37">
            <v>3.3091744794000002</v>
          </cell>
          <cell r="CO37">
            <v>3.3201004128</v>
          </cell>
          <cell r="CP37">
            <v>3.3310263461999998</v>
          </cell>
          <cell r="CQ37">
            <v>3.3419522796000001</v>
          </cell>
          <cell r="CR37">
            <v>3.3528782129999999</v>
          </cell>
          <cell r="CS37">
            <v>3.3638041464000001</v>
          </cell>
          <cell r="CT37">
            <v>3.3747300797999999</v>
          </cell>
          <cell r="CU37">
            <v>3.3856560132000002</v>
          </cell>
          <cell r="CV37">
            <v>3.3965819466</v>
          </cell>
          <cell r="CW37">
            <v>3.4075078799999998</v>
          </cell>
        </row>
        <row r="38">
          <cell r="A38" t="str">
            <v>East + South Fork - Little Bear River</v>
          </cell>
          <cell r="B38">
            <v>2.6049679087714468</v>
          </cell>
          <cell r="C38">
            <v>2.6129425432714468</v>
          </cell>
          <cell r="D38">
            <v>2.6209171777714468</v>
          </cell>
          <cell r="E38">
            <v>2.6288918122714469</v>
          </cell>
          <cell r="F38">
            <v>2.6368664467714469</v>
          </cell>
          <cell r="G38">
            <v>2.6448410812714469</v>
          </cell>
          <cell r="H38">
            <v>2.6528157157714469</v>
          </cell>
          <cell r="I38">
            <v>2.6607903502714469</v>
          </cell>
          <cell r="J38">
            <v>2.668764984771447</v>
          </cell>
          <cell r="K38">
            <v>2.676739619271447</v>
          </cell>
          <cell r="L38">
            <v>2.684714253771447</v>
          </cell>
          <cell r="M38">
            <v>2.692688888271447</v>
          </cell>
          <cell r="N38">
            <v>2.7006635227714471</v>
          </cell>
          <cell r="O38">
            <v>2.7086381572714471</v>
          </cell>
          <cell r="P38">
            <v>2.7166127917714471</v>
          </cell>
          <cell r="Q38">
            <v>2.7245874262714471</v>
          </cell>
          <cell r="R38">
            <v>2.7325620607714471</v>
          </cell>
          <cell r="S38">
            <v>2.7405366952714472</v>
          </cell>
          <cell r="T38">
            <v>2.7485113297714472</v>
          </cell>
          <cell r="U38">
            <v>2.7564859642714472</v>
          </cell>
          <cell r="V38">
            <v>2.7644605987714468</v>
          </cell>
          <cell r="W38">
            <v>2.7724352332714468</v>
          </cell>
          <cell r="X38">
            <v>2.7804098677714468</v>
          </cell>
          <cell r="Y38">
            <v>2.7883845022714469</v>
          </cell>
          <cell r="Z38">
            <v>2.7963591367714469</v>
          </cell>
          <cell r="AA38">
            <v>2.8043337712714469</v>
          </cell>
          <cell r="AB38">
            <v>2.8123084057714469</v>
          </cell>
          <cell r="AC38">
            <v>2.8202830402714469</v>
          </cell>
          <cell r="AD38">
            <v>2.828257674771447</v>
          </cell>
          <cell r="AE38">
            <v>2.836232309271447</v>
          </cell>
          <cell r="AF38">
            <v>2.844206943771447</v>
          </cell>
          <cell r="AG38">
            <v>2.852181578271447</v>
          </cell>
          <cell r="AH38">
            <v>2.860156212771447</v>
          </cell>
          <cell r="AI38">
            <v>2.8705789797514472</v>
          </cell>
          <cell r="AJ38">
            <v>2.8822258129714471</v>
          </cell>
          <cell r="AK38">
            <v>2.893872646191447</v>
          </cell>
          <cell r="AL38">
            <v>2.9055194794114469</v>
          </cell>
          <cell r="AM38">
            <v>2.9171663126314469</v>
          </cell>
          <cell r="AN38">
            <v>2.9288131458514468</v>
          </cell>
          <cell r="AO38">
            <v>2.9404599790714472</v>
          </cell>
          <cell r="AP38">
            <v>2.9521068122914471</v>
          </cell>
          <cell r="AQ38">
            <v>2.963753645511447</v>
          </cell>
          <cell r="AR38">
            <v>2.975400478731447</v>
          </cell>
          <cell r="AS38">
            <v>2.9870473119514469</v>
          </cell>
          <cell r="AT38">
            <v>2.9986941451714468</v>
          </cell>
          <cell r="AU38">
            <v>3.0103409783914472</v>
          </cell>
          <cell r="AV38">
            <v>3.0219878116114471</v>
          </cell>
          <cell r="AW38">
            <v>3.0336346448314471</v>
          </cell>
          <cell r="AX38">
            <v>3.045281478051447</v>
          </cell>
          <cell r="AY38">
            <v>3.0569283112714469</v>
          </cell>
          <cell r="AZ38">
            <v>3.0685751444914469</v>
          </cell>
          <cell r="BA38">
            <v>3.0802219777114468</v>
          </cell>
          <cell r="BB38">
            <v>3.0918688109314472</v>
          </cell>
          <cell r="BC38">
            <v>3.1035156441514471</v>
          </cell>
          <cell r="BD38">
            <v>3.115162477371447</v>
          </cell>
          <cell r="BE38">
            <v>3.126809310591447</v>
          </cell>
          <cell r="BF38">
            <v>3.1384561438114469</v>
          </cell>
          <cell r="BG38">
            <v>3.1501029770314468</v>
          </cell>
          <cell r="BH38">
            <v>3.1617498102514472</v>
          </cell>
          <cell r="BI38">
            <v>3.1733966434714471</v>
          </cell>
          <cell r="BJ38">
            <v>3.1850434766914471</v>
          </cell>
          <cell r="BK38">
            <v>3.196690309911447</v>
          </cell>
          <cell r="BL38">
            <v>3.2083371431314469</v>
          </cell>
          <cell r="BM38">
            <v>3.2199839763514468</v>
          </cell>
          <cell r="BN38">
            <v>3.2316308095714472</v>
          </cell>
          <cell r="BO38">
            <v>3.2432776427914471</v>
          </cell>
          <cell r="BP38">
            <v>3.2546841760714469</v>
          </cell>
          <cell r="BQ38">
            <v>3.2656101094714471</v>
          </cell>
          <cell r="BR38">
            <v>3.276536042871447</v>
          </cell>
          <cell r="BS38">
            <v>3.2874619762714472</v>
          </cell>
          <cell r="BT38">
            <v>3.298387909671447</v>
          </cell>
          <cell r="BU38">
            <v>3.3093138430714468</v>
          </cell>
          <cell r="BV38">
            <v>3.3202397764714471</v>
          </cell>
          <cell r="BW38">
            <v>3.3311657098714469</v>
          </cell>
          <cell r="BX38">
            <v>3.3420916432714471</v>
          </cell>
          <cell r="BY38">
            <v>3.353017576671447</v>
          </cell>
          <cell r="BZ38">
            <v>3.3639435100714472</v>
          </cell>
          <cell r="CA38">
            <v>3.374869443471447</v>
          </cell>
          <cell r="CB38">
            <v>3.3857953768714468</v>
          </cell>
          <cell r="CC38">
            <v>3.3967213102714471</v>
          </cell>
          <cell r="CD38">
            <v>3.4076472436714469</v>
          </cell>
          <cell r="CE38">
            <v>3.4185731770714471</v>
          </cell>
          <cell r="CF38">
            <v>3.429499110471447</v>
          </cell>
          <cell r="CG38">
            <v>3.4404250438714472</v>
          </cell>
          <cell r="CH38">
            <v>3.451350977271447</v>
          </cell>
          <cell r="CI38">
            <v>3.4622769106714468</v>
          </cell>
          <cell r="CJ38">
            <v>3.4732028440714471</v>
          </cell>
          <cell r="CK38">
            <v>3.4841287774714469</v>
          </cell>
          <cell r="CL38">
            <v>3.4950547108714471</v>
          </cell>
          <cell r="CM38">
            <v>3.505980644271447</v>
          </cell>
          <cell r="CN38">
            <v>3.5169065776714472</v>
          </cell>
          <cell r="CO38">
            <v>3.527832511071447</v>
          </cell>
          <cell r="CP38">
            <v>3.5387584444714468</v>
          </cell>
          <cell r="CQ38">
            <v>3.5496843778714471</v>
          </cell>
          <cell r="CR38">
            <v>3.5606103112714469</v>
          </cell>
          <cell r="CS38">
            <v>3.5715362446714471</v>
          </cell>
          <cell r="CT38">
            <v>3.582462178071447</v>
          </cell>
          <cell r="CU38">
            <v>3.5933881114714472</v>
          </cell>
          <cell r="CV38">
            <v>3.604314044871447</v>
          </cell>
          <cell r="CW38">
            <v>3.6152399782714468</v>
          </cell>
        </row>
        <row r="43">
          <cell r="B43">
            <v>0.4</v>
          </cell>
        </row>
      </sheetData>
      <sheetData sheetId="9" refreshError="1">
        <row r="5">
          <cell r="A5">
            <v>4600</v>
          </cell>
          <cell r="B5">
            <v>10.3</v>
          </cell>
          <cell r="C5">
            <v>10</v>
          </cell>
          <cell r="D5">
            <v>5236</v>
          </cell>
          <cell r="E5">
            <v>0</v>
          </cell>
          <cell r="F5">
            <v>0</v>
          </cell>
        </row>
        <row r="6">
          <cell r="A6">
            <v>4600.1000000000004</v>
          </cell>
          <cell r="B6">
            <v>10.8</v>
          </cell>
          <cell r="C6">
            <v>11.1</v>
          </cell>
          <cell r="D6">
            <v>5237</v>
          </cell>
          <cell r="E6">
            <v>0</v>
          </cell>
          <cell r="F6">
            <v>0</v>
          </cell>
        </row>
        <row r="7">
          <cell r="A7">
            <v>4600.2000000000007</v>
          </cell>
          <cell r="B7">
            <v>11.3</v>
          </cell>
          <cell r="C7">
            <v>12.2</v>
          </cell>
          <cell r="D7">
            <v>5238</v>
          </cell>
          <cell r="E7">
            <v>0</v>
          </cell>
          <cell r="F7">
            <v>0</v>
          </cell>
        </row>
        <row r="8">
          <cell r="A8">
            <v>4600.3000000000011</v>
          </cell>
          <cell r="B8">
            <v>11.9</v>
          </cell>
          <cell r="C8">
            <v>13.3</v>
          </cell>
          <cell r="D8">
            <v>5239</v>
          </cell>
          <cell r="E8">
            <v>0</v>
          </cell>
          <cell r="F8">
            <v>0</v>
          </cell>
        </row>
        <row r="9">
          <cell r="A9">
            <v>4600.4000000000015</v>
          </cell>
          <cell r="B9">
            <v>12.4</v>
          </cell>
          <cell r="C9">
            <v>14.5</v>
          </cell>
          <cell r="D9">
            <v>5240</v>
          </cell>
          <cell r="E9">
            <v>0</v>
          </cell>
          <cell r="F9">
            <v>1</v>
          </cell>
        </row>
        <row r="10">
          <cell r="A10">
            <v>4600.5000000000018</v>
          </cell>
          <cell r="B10">
            <v>13</v>
          </cell>
          <cell r="C10">
            <v>15.8</v>
          </cell>
          <cell r="D10">
            <v>5241</v>
          </cell>
          <cell r="E10">
            <v>0</v>
          </cell>
          <cell r="F10">
            <v>2</v>
          </cell>
        </row>
        <row r="11">
          <cell r="A11">
            <v>4600.6000000000022</v>
          </cell>
          <cell r="B11">
            <v>13.5</v>
          </cell>
          <cell r="C11">
            <v>17.100000000000001</v>
          </cell>
          <cell r="D11">
            <v>5242</v>
          </cell>
          <cell r="E11">
            <v>9.1760065606006306E-3</v>
          </cell>
          <cell r="F11">
            <v>2</v>
          </cell>
        </row>
        <row r="12">
          <cell r="A12">
            <v>4600.7000000000025</v>
          </cell>
          <cell r="B12">
            <v>14</v>
          </cell>
          <cell r="C12">
            <v>18.5</v>
          </cell>
          <cell r="D12">
            <v>5243</v>
          </cell>
          <cell r="E12">
            <v>1.99276550149731</v>
          </cell>
          <cell r="F12">
            <v>3</v>
          </cell>
        </row>
        <row r="13">
          <cell r="A13">
            <v>4600.8000000000029</v>
          </cell>
          <cell r="B13">
            <v>14.6</v>
          </cell>
          <cell r="C13">
            <v>19.899999999999999</v>
          </cell>
          <cell r="D13">
            <v>5244</v>
          </cell>
          <cell r="E13">
            <v>3.9232025563002302</v>
          </cell>
          <cell r="F13">
            <v>4</v>
          </cell>
        </row>
        <row r="14">
          <cell r="A14">
            <v>4600.9000000000033</v>
          </cell>
          <cell r="B14">
            <v>15.1</v>
          </cell>
          <cell r="C14">
            <v>21.4</v>
          </cell>
          <cell r="D14">
            <v>5245</v>
          </cell>
          <cell r="E14">
            <v>5.8014226171135697</v>
          </cell>
          <cell r="F14">
            <v>5</v>
          </cell>
        </row>
        <row r="15">
          <cell r="A15">
            <v>4601.0000000000036</v>
          </cell>
          <cell r="B15">
            <v>15.7</v>
          </cell>
          <cell r="C15">
            <v>23</v>
          </cell>
          <cell r="D15">
            <v>5246</v>
          </cell>
          <cell r="E15">
            <v>7.6283611300815197</v>
          </cell>
          <cell r="F15">
            <v>11</v>
          </cell>
        </row>
        <row r="16">
          <cell r="A16">
            <v>4601.100000000004</v>
          </cell>
          <cell r="B16">
            <v>16.899999999999999</v>
          </cell>
          <cell r="C16">
            <v>24.6</v>
          </cell>
          <cell r="D16">
            <v>5247</v>
          </cell>
          <cell r="E16">
            <v>9.4049535413483003</v>
          </cell>
          <cell r="F16">
            <v>16</v>
          </cell>
        </row>
        <row r="17">
          <cell r="A17">
            <v>4601.2000000000044</v>
          </cell>
          <cell r="B17">
            <v>18.2</v>
          </cell>
          <cell r="C17">
            <v>26.4</v>
          </cell>
          <cell r="D17">
            <v>5248</v>
          </cell>
          <cell r="E17">
            <v>11.132135297058101</v>
          </cell>
          <cell r="F17">
            <v>22</v>
          </cell>
        </row>
        <row r="18">
          <cell r="A18">
            <v>4601.3000000000047</v>
          </cell>
          <cell r="B18">
            <v>19.399999999999999</v>
          </cell>
          <cell r="C18">
            <v>28.2</v>
          </cell>
          <cell r="D18">
            <v>5249</v>
          </cell>
          <cell r="E18">
            <v>12.810841843355099</v>
          </cell>
          <cell r="F18">
            <v>28</v>
          </cell>
        </row>
        <row r="19">
          <cell r="A19">
            <v>4601.3999999999996</v>
          </cell>
          <cell r="B19">
            <v>20.7</v>
          </cell>
          <cell r="C19">
            <v>30.2</v>
          </cell>
          <cell r="D19">
            <v>5250</v>
          </cell>
          <cell r="E19">
            <v>14.442008626383499</v>
          </cell>
          <cell r="F19">
            <v>34</v>
          </cell>
        </row>
        <row r="20">
          <cell r="A20">
            <v>4601.5</v>
          </cell>
          <cell r="B20">
            <v>21.9</v>
          </cell>
          <cell r="C20">
            <v>32.4</v>
          </cell>
          <cell r="D20">
            <v>5251</v>
          </cell>
          <cell r="E20">
            <v>16.026571092287501</v>
          </cell>
          <cell r="F20">
            <v>48</v>
          </cell>
        </row>
        <row r="21">
          <cell r="A21">
            <v>4601.6000000000004</v>
          </cell>
          <cell r="B21">
            <v>23.2</v>
          </cell>
          <cell r="C21">
            <v>34.6</v>
          </cell>
          <cell r="D21">
            <v>5252</v>
          </cell>
          <cell r="E21">
            <v>17.5654646872113</v>
          </cell>
          <cell r="F21">
            <v>62</v>
          </cell>
        </row>
        <row r="22">
          <cell r="A22">
            <v>4601.7</v>
          </cell>
          <cell r="B22">
            <v>24.5</v>
          </cell>
          <cell r="C22">
            <v>37</v>
          </cell>
          <cell r="D22">
            <v>5253</v>
          </cell>
          <cell r="E22">
            <v>19.059624857299202</v>
          </cell>
          <cell r="F22">
            <v>76</v>
          </cell>
        </row>
        <row r="23">
          <cell r="A23">
            <v>4601.8</v>
          </cell>
          <cell r="B23">
            <v>25.7</v>
          </cell>
          <cell r="C23">
            <v>39.5</v>
          </cell>
          <cell r="D23">
            <v>5254</v>
          </cell>
          <cell r="E23">
            <v>20.509987048695201</v>
          </cell>
          <cell r="F23">
            <v>90</v>
          </cell>
        </row>
        <row r="24">
          <cell r="A24">
            <v>4601.8999999999996</v>
          </cell>
          <cell r="B24">
            <v>27</v>
          </cell>
          <cell r="C24">
            <v>42.2</v>
          </cell>
          <cell r="D24">
            <v>5255</v>
          </cell>
          <cell r="E24">
            <v>21.917486707543699</v>
          </cell>
          <cell r="F24">
            <v>104</v>
          </cell>
        </row>
        <row r="25">
          <cell r="A25">
            <v>4602</v>
          </cell>
          <cell r="B25">
            <v>28.2</v>
          </cell>
          <cell r="C25">
            <v>44.9</v>
          </cell>
          <cell r="D25">
            <v>5256</v>
          </cell>
          <cell r="E25">
            <v>23.283059279988802</v>
          </cell>
          <cell r="F25">
            <v>122</v>
          </cell>
        </row>
        <row r="26">
          <cell r="A26">
            <v>4602.1000000000004</v>
          </cell>
          <cell r="B26">
            <v>28.8</v>
          </cell>
          <cell r="C26">
            <v>47.8</v>
          </cell>
          <cell r="D26">
            <v>5257</v>
          </cell>
          <cell r="E26">
            <v>24.607640212174701</v>
          </cell>
          <cell r="F26">
            <v>140</v>
          </cell>
        </row>
        <row r="27">
          <cell r="A27">
            <v>4602.2</v>
          </cell>
          <cell r="B27">
            <v>29.4</v>
          </cell>
          <cell r="C27">
            <v>50.7</v>
          </cell>
          <cell r="D27">
            <v>5258</v>
          </cell>
          <cell r="E27">
            <v>25.892164950245601</v>
          </cell>
          <cell r="F27">
            <v>158</v>
          </cell>
        </row>
        <row r="28">
          <cell r="A28">
            <v>4602.3</v>
          </cell>
          <cell r="B28">
            <v>29.9</v>
          </cell>
          <cell r="C28">
            <v>53.6</v>
          </cell>
          <cell r="D28">
            <v>5259</v>
          </cell>
          <cell r="E28">
            <v>27.137568940345702</v>
          </cell>
          <cell r="F28">
            <v>177</v>
          </cell>
        </row>
        <row r="29">
          <cell r="A29">
            <v>4602.3999999999996</v>
          </cell>
          <cell r="B29">
            <v>30.5</v>
          </cell>
          <cell r="C29">
            <v>56.7</v>
          </cell>
          <cell r="D29">
            <v>5260</v>
          </cell>
          <cell r="E29">
            <v>28.344787628619201</v>
          </cell>
          <cell r="F29">
            <v>195</v>
          </cell>
        </row>
        <row r="30">
          <cell r="A30">
            <v>4602.5</v>
          </cell>
          <cell r="B30">
            <v>31.1</v>
          </cell>
          <cell r="C30">
            <v>59.7</v>
          </cell>
          <cell r="D30">
            <v>5261</v>
          </cell>
          <cell r="E30">
            <v>29.5147564612103</v>
          </cell>
          <cell r="F30">
            <v>218</v>
          </cell>
        </row>
        <row r="31">
          <cell r="A31">
            <v>4602.6000000000004</v>
          </cell>
          <cell r="B31">
            <v>31.7</v>
          </cell>
          <cell r="C31">
            <v>62.9</v>
          </cell>
          <cell r="D31">
            <v>5262</v>
          </cell>
          <cell r="E31">
            <v>30.6484108842632</v>
          </cell>
          <cell r="F31">
            <v>241</v>
          </cell>
        </row>
        <row r="32">
          <cell r="A32">
            <v>4602.7</v>
          </cell>
          <cell r="B32">
            <v>32.299999999999997</v>
          </cell>
          <cell r="C32">
            <v>66.099999999999994</v>
          </cell>
          <cell r="D32">
            <v>5263</v>
          </cell>
          <cell r="E32">
            <v>31.7466863439221</v>
          </cell>
          <cell r="F32">
            <v>263</v>
          </cell>
        </row>
        <row r="33">
          <cell r="A33">
            <v>4602.8</v>
          </cell>
          <cell r="B33">
            <v>32.799999999999997</v>
          </cell>
          <cell r="C33">
            <v>69.3</v>
          </cell>
          <cell r="D33">
            <v>5264</v>
          </cell>
          <cell r="E33">
            <v>32.810518286331202</v>
          </cell>
          <cell r="F33">
            <v>286</v>
          </cell>
        </row>
        <row r="34">
          <cell r="A34">
            <v>4602.8999999999996</v>
          </cell>
          <cell r="B34">
            <v>33.4</v>
          </cell>
          <cell r="C34">
            <v>72.599999999999994</v>
          </cell>
          <cell r="D34">
            <v>5265</v>
          </cell>
          <cell r="E34">
            <v>33.840842157634803</v>
          </cell>
          <cell r="F34">
            <v>308</v>
          </cell>
        </row>
        <row r="35">
          <cell r="A35">
            <v>4603</v>
          </cell>
          <cell r="B35">
            <v>34</v>
          </cell>
          <cell r="C35">
            <v>76</v>
          </cell>
          <cell r="D35">
            <v>5266</v>
          </cell>
          <cell r="E35">
            <v>34.838593403976901</v>
          </cell>
          <cell r="F35">
            <v>336</v>
          </cell>
        </row>
        <row r="36">
          <cell r="A36">
            <v>4603.1000000000004</v>
          </cell>
          <cell r="B36">
            <v>35.6</v>
          </cell>
          <cell r="C36">
            <v>79.5</v>
          </cell>
          <cell r="D36">
            <v>5267</v>
          </cell>
          <cell r="E36">
            <v>35.8047074715018</v>
          </cell>
          <cell r="F36">
            <v>364</v>
          </cell>
        </row>
        <row r="37">
          <cell r="A37">
            <v>4603.2</v>
          </cell>
          <cell r="B37">
            <v>37.1</v>
          </cell>
          <cell r="C37">
            <v>83.1</v>
          </cell>
          <cell r="D37">
            <v>5268</v>
          </cell>
          <cell r="E37">
            <v>36.740119806353803</v>
          </cell>
          <cell r="F37">
            <v>393</v>
          </cell>
        </row>
        <row r="38">
          <cell r="A38">
            <v>4603.3</v>
          </cell>
          <cell r="B38">
            <v>38.700000000000003</v>
          </cell>
          <cell r="C38">
            <v>86.9</v>
          </cell>
          <cell r="D38">
            <v>5269</v>
          </cell>
          <cell r="E38">
            <v>37.645765854676903</v>
          </cell>
          <cell r="F38">
            <v>421</v>
          </cell>
        </row>
        <row r="39">
          <cell r="A39">
            <v>4603.3999999999996</v>
          </cell>
          <cell r="B39">
            <v>40.299999999999997</v>
          </cell>
          <cell r="C39">
            <v>90.9</v>
          </cell>
          <cell r="D39">
            <v>5270</v>
          </cell>
          <cell r="E39">
            <v>38.522581062615501</v>
          </cell>
          <cell r="F39">
            <v>450</v>
          </cell>
        </row>
        <row r="40">
          <cell r="A40">
            <v>4603.5</v>
          </cell>
          <cell r="B40">
            <v>41.8</v>
          </cell>
          <cell r="C40">
            <v>95</v>
          </cell>
          <cell r="D40">
            <v>5271</v>
          </cell>
          <cell r="E40">
            <v>39.371500876313597</v>
          </cell>
          <cell r="F40">
            <v>487</v>
          </cell>
        </row>
        <row r="41">
          <cell r="A41">
            <v>4603.6000000000004</v>
          </cell>
          <cell r="B41">
            <v>43.4</v>
          </cell>
          <cell r="C41">
            <v>99.2</v>
          </cell>
          <cell r="D41">
            <v>5272</v>
          </cell>
          <cell r="E41">
            <v>40.193460741915501</v>
          </cell>
          <cell r="F41">
            <v>523</v>
          </cell>
        </row>
        <row r="42">
          <cell r="A42">
            <v>4603.7</v>
          </cell>
          <cell r="B42">
            <v>45</v>
          </cell>
          <cell r="C42">
            <v>103.6</v>
          </cell>
          <cell r="D42">
            <v>5273</v>
          </cell>
          <cell r="E42">
            <v>40.989396105565497</v>
          </cell>
          <cell r="F42">
            <v>559</v>
          </cell>
        </row>
        <row r="43">
          <cell r="A43">
            <v>4603.8</v>
          </cell>
          <cell r="B43">
            <v>46.5</v>
          </cell>
          <cell r="C43">
            <v>108.2</v>
          </cell>
          <cell r="D43">
            <v>5274</v>
          </cell>
          <cell r="E43">
            <v>41.760242413407603</v>
          </cell>
          <cell r="F43">
            <v>595</v>
          </cell>
        </row>
        <row r="44">
          <cell r="A44">
            <v>4603.8999999999996</v>
          </cell>
          <cell r="B44">
            <v>48.1</v>
          </cell>
          <cell r="C44">
            <v>113</v>
          </cell>
          <cell r="D44">
            <v>5275</v>
          </cell>
          <cell r="E44">
            <v>42.506935111586202</v>
          </cell>
          <cell r="F44">
            <v>631</v>
          </cell>
        </row>
        <row r="45">
          <cell r="A45">
            <v>4604</v>
          </cell>
          <cell r="B45">
            <v>49.7</v>
          </cell>
          <cell r="C45">
            <v>117.8</v>
          </cell>
          <cell r="D45">
            <v>5276</v>
          </cell>
          <cell r="E45">
            <v>43.230409646245299</v>
          </cell>
          <cell r="F45">
            <v>674</v>
          </cell>
        </row>
        <row r="46">
          <cell r="A46">
            <v>4604.1000000000004</v>
          </cell>
          <cell r="B46">
            <v>50.1</v>
          </cell>
          <cell r="C46">
            <v>122.8</v>
          </cell>
          <cell r="D46">
            <v>5277</v>
          </cell>
          <cell r="E46">
            <v>43.931601463529297</v>
          </cell>
          <cell r="F46">
            <v>718</v>
          </cell>
        </row>
        <row r="47">
          <cell r="A47">
            <v>4604.2</v>
          </cell>
          <cell r="B47">
            <v>50.5</v>
          </cell>
          <cell r="C47">
            <v>127.9</v>
          </cell>
          <cell r="D47">
            <v>5278</v>
          </cell>
          <cell r="E47">
            <v>44.611446009582203</v>
          </cell>
          <cell r="F47">
            <v>761</v>
          </cell>
        </row>
        <row r="48">
          <cell r="A48">
            <v>4604.3</v>
          </cell>
          <cell r="B48">
            <v>50.9</v>
          </cell>
          <cell r="C48">
            <v>132.9</v>
          </cell>
          <cell r="D48">
            <v>5279</v>
          </cell>
          <cell r="E48">
            <v>45.270878730548297</v>
          </cell>
          <cell r="F48">
            <v>805</v>
          </cell>
        </row>
        <row r="49">
          <cell r="A49">
            <v>4604.3999999999996</v>
          </cell>
          <cell r="B49">
            <v>51.3</v>
          </cell>
          <cell r="C49">
            <v>138</v>
          </cell>
          <cell r="D49">
            <v>5280</v>
          </cell>
          <cell r="E49">
            <v>45.9108350725718</v>
          </cell>
          <cell r="F49">
            <v>849</v>
          </cell>
        </row>
        <row r="50">
          <cell r="A50">
            <v>4604.5</v>
          </cell>
          <cell r="B50">
            <v>51.8</v>
          </cell>
          <cell r="C50">
            <v>143.19999999999999</v>
          </cell>
          <cell r="D50">
            <v>5281</v>
          </cell>
          <cell r="E50">
            <v>46.532250481797</v>
          </cell>
          <cell r="F50">
            <v>902</v>
          </cell>
        </row>
        <row r="51">
          <cell r="A51">
            <v>4604.6000000000004</v>
          </cell>
          <cell r="B51">
            <v>52.2</v>
          </cell>
          <cell r="C51">
            <v>148.4</v>
          </cell>
          <cell r="D51">
            <v>5282</v>
          </cell>
          <cell r="E51">
            <v>47.136060404367903</v>
          </cell>
          <cell r="F51">
            <v>955</v>
          </cell>
        </row>
        <row r="52">
          <cell r="A52">
            <v>4604.7</v>
          </cell>
          <cell r="B52">
            <v>52.6</v>
          </cell>
          <cell r="C52">
            <v>153.6</v>
          </cell>
          <cell r="D52">
            <v>5283</v>
          </cell>
          <cell r="E52">
            <v>47.723200286428799</v>
          </cell>
          <cell r="F52">
            <v>1008</v>
          </cell>
        </row>
        <row r="53">
          <cell r="A53">
            <v>4604.8</v>
          </cell>
          <cell r="B53">
            <v>53</v>
          </cell>
          <cell r="C53">
            <v>158.9</v>
          </cell>
          <cell r="D53">
            <v>5284</v>
          </cell>
          <cell r="E53">
            <v>48.294605574123899</v>
          </cell>
          <cell r="F53">
            <v>1061</v>
          </cell>
        </row>
        <row r="54">
          <cell r="A54">
            <v>4604.8999999999996</v>
          </cell>
          <cell r="B54">
            <v>53.4</v>
          </cell>
          <cell r="C54">
            <v>164.2</v>
          </cell>
          <cell r="D54">
            <v>5285</v>
          </cell>
          <cell r="E54">
            <v>48.851211713597401</v>
          </cell>
          <cell r="F54">
            <v>1114</v>
          </cell>
        </row>
        <row r="55">
          <cell r="A55">
            <v>4605</v>
          </cell>
          <cell r="B55">
            <v>53.9</v>
          </cell>
          <cell r="C55">
            <v>169.6</v>
          </cell>
          <cell r="D55">
            <v>5286</v>
          </cell>
          <cell r="E55">
            <v>49.393954150993501</v>
          </cell>
          <cell r="F55">
            <v>1174</v>
          </cell>
        </row>
        <row r="56">
          <cell r="A56">
            <v>4605.1000000000004</v>
          </cell>
          <cell r="B56">
            <v>54.7</v>
          </cell>
          <cell r="C56">
            <v>175</v>
          </cell>
          <cell r="D56">
            <v>5287</v>
          </cell>
          <cell r="E56">
            <v>49.923768332456298</v>
          </cell>
          <cell r="F56">
            <v>1234</v>
          </cell>
        </row>
        <row r="57">
          <cell r="A57">
            <v>4605.2</v>
          </cell>
          <cell r="B57">
            <v>55.6</v>
          </cell>
          <cell r="C57">
            <v>180.5</v>
          </cell>
          <cell r="D57">
            <v>5288</v>
          </cell>
          <cell r="E57">
            <v>50.441589704130202</v>
          </cell>
          <cell r="F57">
            <v>1294</v>
          </cell>
        </row>
        <row r="58">
          <cell r="A58">
            <v>4605.3</v>
          </cell>
          <cell r="B58">
            <v>56.4</v>
          </cell>
          <cell r="C58">
            <v>186.1</v>
          </cell>
          <cell r="D58">
            <v>5289</v>
          </cell>
          <cell r="E58">
            <v>50.948353712159303</v>
          </cell>
          <cell r="F58">
            <v>1354</v>
          </cell>
        </row>
        <row r="59">
          <cell r="A59">
            <v>4605.3999999999996</v>
          </cell>
          <cell r="B59">
            <v>57.3</v>
          </cell>
          <cell r="C59">
            <v>191.8</v>
          </cell>
          <cell r="D59">
            <v>5290</v>
          </cell>
          <cell r="E59">
            <v>51.4449958026877</v>
          </cell>
          <cell r="F59">
            <v>1413</v>
          </cell>
        </row>
        <row r="60">
          <cell r="A60">
            <v>4605.5</v>
          </cell>
          <cell r="B60">
            <v>58.1</v>
          </cell>
          <cell r="C60">
            <v>197.6</v>
          </cell>
          <cell r="D60">
            <v>5291</v>
          </cell>
          <cell r="E60">
            <v>51.932451421859803</v>
          </cell>
          <cell r="F60">
            <v>1479</v>
          </cell>
        </row>
        <row r="61">
          <cell r="A61">
            <v>4605.6000000000004</v>
          </cell>
          <cell r="B61">
            <v>59</v>
          </cell>
          <cell r="C61">
            <v>203.5</v>
          </cell>
          <cell r="D61">
            <v>5292</v>
          </cell>
          <cell r="E61">
            <v>52.411656015819602</v>
          </cell>
          <cell r="F61">
            <v>1546</v>
          </cell>
        </row>
        <row r="62">
          <cell r="A62">
            <v>4605.7</v>
          </cell>
          <cell r="B62">
            <v>59.8</v>
          </cell>
          <cell r="C62">
            <v>209.4</v>
          </cell>
          <cell r="D62">
            <v>5293</v>
          </cell>
          <cell r="E62">
            <v>52.883545030711403</v>
          </cell>
          <cell r="F62">
            <v>1613</v>
          </cell>
        </row>
        <row r="63">
          <cell r="A63">
            <v>4605.8</v>
          </cell>
          <cell r="B63">
            <v>60.7</v>
          </cell>
          <cell r="C63">
            <v>215.4</v>
          </cell>
          <cell r="D63">
            <v>5294</v>
          </cell>
          <cell r="E63">
            <v>53.349053912679402</v>
          </cell>
          <cell r="F63">
            <v>1680</v>
          </cell>
        </row>
        <row r="64">
          <cell r="A64">
            <v>4605.8999999999996</v>
          </cell>
          <cell r="B64">
            <v>61.5</v>
          </cell>
          <cell r="C64">
            <v>221.5</v>
          </cell>
          <cell r="D64">
            <v>5295</v>
          </cell>
          <cell r="E64">
            <v>53.809118107867803</v>
          </cell>
          <cell r="F64">
            <v>1747</v>
          </cell>
        </row>
        <row r="65">
          <cell r="A65">
            <v>4606</v>
          </cell>
          <cell r="B65">
            <v>62.4</v>
          </cell>
          <cell r="C65">
            <v>227.7</v>
          </cell>
          <cell r="D65">
            <v>5296</v>
          </cell>
          <cell r="E65">
            <v>54.264673062420798</v>
          </cell>
          <cell r="F65">
            <v>1821</v>
          </cell>
        </row>
        <row r="66">
          <cell r="A66">
            <v>4606.1000000000004</v>
          </cell>
          <cell r="B66">
            <v>62.8</v>
          </cell>
          <cell r="C66">
            <v>234</v>
          </cell>
          <cell r="D66">
            <v>5297</v>
          </cell>
          <cell r="E66">
            <v>54.716654222482603</v>
          </cell>
          <cell r="F66">
            <v>1894</v>
          </cell>
        </row>
        <row r="67">
          <cell r="A67">
            <v>4606.2</v>
          </cell>
          <cell r="B67">
            <v>63.1</v>
          </cell>
          <cell r="C67">
            <v>240.3</v>
          </cell>
          <cell r="D67">
            <v>5298</v>
          </cell>
          <cell r="E67">
            <v>55.165997034197297</v>
          </cell>
          <cell r="F67">
            <v>1967</v>
          </cell>
        </row>
        <row r="68">
          <cell r="A68">
            <v>4606.3</v>
          </cell>
          <cell r="B68">
            <v>63.5</v>
          </cell>
          <cell r="C68">
            <v>246.6</v>
          </cell>
          <cell r="D68">
            <v>5299</v>
          </cell>
          <cell r="E68">
            <v>55.613636943709203</v>
          </cell>
          <cell r="F68">
            <v>2041</v>
          </cell>
        </row>
        <row r="69">
          <cell r="A69">
            <v>4606.3999999999996</v>
          </cell>
          <cell r="B69">
            <v>63.9</v>
          </cell>
          <cell r="C69">
            <v>253</v>
          </cell>
          <cell r="D69">
            <v>5300</v>
          </cell>
          <cell r="E69">
            <v>56.060509397162498</v>
          </cell>
          <cell r="F69">
            <v>2114</v>
          </cell>
        </row>
        <row r="70">
          <cell r="A70">
            <v>4606.5</v>
          </cell>
          <cell r="B70">
            <v>64.3</v>
          </cell>
          <cell r="C70">
            <v>259.39999999999998</v>
          </cell>
          <cell r="D70">
            <v>5301</v>
          </cell>
          <cell r="E70">
            <v>56.507549840701401</v>
          </cell>
          <cell r="F70">
            <v>2194</v>
          </cell>
        </row>
        <row r="71">
          <cell r="A71">
            <v>4606.6000000000004</v>
          </cell>
          <cell r="B71">
            <v>64.7</v>
          </cell>
          <cell r="C71">
            <v>265.8</v>
          </cell>
          <cell r="D71">
            <v>5302</v>
          </cell>
          <cell r="E71">
            <v>56.955693720470101</v>
          </cell>
          <cell r="F71">
            <v>2275</v>
          </cell>
        </row>
        <row r="72">
          <cell r="A72">
            <v>4606.7</v>
          </cell>
          <cell r="B72">
            <v>65.099999999999994</v>
          </cell>
          <cell r="C72">
            <v>272.3</v>
          </cell>
          <cell r="D72">
            <v>5303</v>
          </cell>
          <cell r="E72">
            <v>57.405876482612797</v>
          </cell>
          <cell r="F72">
            <v>2355</v>
          </cell>
        </row>
        <row r="73">
          <cell r="A73">
            <v>4606.8</v>
          </cell>
          <cell r="B73">
            <v>65.400000000000006</v>
          </cell>
          <cell r="C73">
            <v>278.89999999999998</v>
          </cell>
          <cell r="D73">
            <v>5304</v>
          </cell>
          <cell r="E73">
            <v>57.859033573273599</v>
          </cell>
          <cell r="F73">
            <v>2436</v>
          </cell>
        </row>
        <row r="74">
          <cell r="A74">
            <v>4606.8999999999996</v>
          </cell>
          <cell r="B74">
            <v>65.8</v>
          </cell>
          <cell r="C74">
            <v>285.39999999999998</v>
          </cell>
          <cell r="D74">
            <v>5305</v>
          </cell>
          <cell r="E74">
            <v>58.316100438596898</v>
          </cell>
          <cell r="F74">
            <v>2516</v>
          </cell>
        </row>
        <row r="75">
          <cell r="A75">
            <v>4607</v>
          </cell>
          <cell r="B75">
            <v>66.2</v>
          </cell>
          <cell r="C75">
            <v>292</v>
          </cell>
          <cell r="D75">
            <v>5306</v>
          </cell>
          <cell r="E75">
            <v>58.778012524726698</v>
          </cell>
          <cell r="F75">
            <v>2605</v>
          </cell>
        </row>
        <row r="76">
          <cell r="A76">
            <v>4607.1000000000004</v>
          </cell>
          <cell r="B76">
            <v>67.400000000000006</v>
          </cell>
          <cell r="C76">
            <v>298.7</v>
          </cell>
          <cell r="D76">
            <v>5307</v>
          </cell>
          <cell r="E76">
            <v>59.245705277807303</v>
          </cell>
          <cell r="F76">
            <v>2694</v>
          </cell>
        </row>
        <row r="77">
          <cell r="A77">
            <v>4607.2</v>
          </cell>
          <cell r="B77">
            <v>68.5</v>
          </cell>
          <cell r="C77">
            <v>305.5</v>
          </cell>
          <cell r="D77">
            <v>5308</v>
          </cell>
          <cell r="E77">
            <v>59.720114143982798</v>
          </cell>
          <cell r="F77">
            <v>2784</v>
          </cell>
        </row>
        <row r="78">
          <cell r="A78">
            <v>4607.3</v>
          </cell>
          <cell r="B78">
            <v>69.7</v>
          </cell>
          <cell r="C78">
            <v>312.39999999999998</v>
          </cell>
          <cell r="D78">
            <v>5309</v>
          </cell>
          <cell r="E78">
            <v>60.202174569397599</v>
          </cell>
          <cell r="F78">
            <v>2873</v>
          </cell>
        </row>
        <row r="79">
          <cell r="A79">
            <v>4607.3999999999996</v>
          </cell>
          <cell r="B79">
            <v>70.900000000000006</v>
          </cell>
          <cell r="C79">
            <v>319.39999999999998</v>
          </cell>
          <cell r="D79">
            <v>5310</v>
          </cell>
          <cell r="E79">
            <v>60.692822000195697</v>
          </cell>
          <cell r="F79">
            <v>2962</v>
          </cell>
        </row>
        <row r="80">
          <cell r="A80">
            <v>4607.5</v>
          </cell>
          <cell r="B80">
            <v>72</v>
          </cell>
          <cell r="C80">
            <v>326.60000000000002</v>
          </cell>
          <cell r="D80">
            <v>5311</v>
          </cell>
          <cell r="E80">
            <v>61.192991882521397</v>
          </cell>
          <cell r="F80">
            <v>3058</v>
          </cell>
        </row>
        <row r="81">
          <cell r="A81">
            <v>4607.6000000000004</v>
          </cell>
          <cell r="B81">
            <v>73.2</v>
          </cell>
          <cell r="C81">
            <v>333.8</v>
          </cell>
          <cell r="D81">
            <v>5312</v>
          </cell>
          <cell r="E81">
            <v>61.703619662518904</v>
          </cell>
          <cell r="F81">
            <v>3154</v>
          </cell>
        </row>
        <row r="82">
          <cell r="A82">
            <v>4607.7</v>
          </cell>
          <cell r="B82">
            <v>74.3</v>
          </cell>
          <cell r="C82">
            <v>341.2</v>
          </cell>
          <cell r="D82">
            <v>5313</v>
          </cell>
          <cell r="E82">
            <v>62.225640786332399</v>
          </cell>
          <cell r="F82">
            <v>3250</v>
          </cell>
        </row>
        <row r="83">
          <cell r="A83">
            <v>4607.8</v>
          </cell>
          <cell r="B83">
            <v>75.5</v>
          </cell>
          <cell r="C83">
            <v>348.7</v>
          </cell>
          <cell r="D83">
            <v>5314</v>
          </cell>
          <cell r="E83">
            <v>62.759990700106002</v>
          </cell>
          <cell r="F83">
            <v>3346</v>
          </cell>
        </row>
        <row r="84">
          <cell r="A84">
            <v>4607.8999999999996</v>
          </cell>
          <cell r="B84">
            <v>76.7</v>
          </cell>
          <cell r="C84">
            <v>356.3</v>
          </cell>
          <cell r="D84">
            <v>5315</v>
          </cell>
          <cell r="E84">
            <v>63.307604849984003</v>
          </cell>
          <cell r="F84">
            <v>3442</v>
          </cell>
        </row>
        <row r="85">
          <cell r="A85">
            <v>4608</v>
          </cell>
          <cell r="B85">
            <v>77.8</v>
          </cell>
          <cell r="C85">
            <v>364</v>
          </cell>
          <cell r="D85">
            <v>5316</v>
          </cell>
          <cell r="E85">
            <v>63.869418682110599</v>
          </cell>
          <cell r="F85">
            <v>3546</v>
          </cell>
        </row>
        <row r="86">
          <cell r="A86">
            <v>4608.1000000000004</v>
          </cell>
          <cell r="B86">
            <v>78.2</v>
          </cell>
          <cell r="C86">
            <v>371.8</v>
          </cell>
          <cell r="D86">
            <v>5317</v>
          </cell>
          <cell r="E86">
            <v>64.446367642629994</v>
          </cell>
          <cell r="F86">
            <v>3649</v>
          </cell>
        </row>
        <row r="87">
          <cell r="A87">
            <v>4608.2</v>
          </cell>
          <cell r="B87">
            <v>78.599999999999994</v>
          </cell>
          <cell r="C87">
            <v>379.7</v>
          </cell>
          <cell r="D87">
            <v>5318</v>
          </cell>
          <cell r="E87">
            <v>65.039387177686294</v>
          </cell>
          <cell r="F87">
            <v>3752</v>
          </cell>
        </row>
        <row r="88">
          <cell r="A88">
            <v>4608.3</v>
          </cell>
          <cell r="B88">
            <v>78.900000000000006</v>
          </cell>
          <cell r="C88">
            <v>387.5</v>
          </cell>
          <cell r="D88">
            <v>5319</v>
          </cell>
          <cell r="E88">
            <v>65.649412733423802</v>
          </cell>
          <cell r="F88">
            <v>3856</v>
          </cell>
        </row>
        <row r="89">
          <cell r="A89">
            <v>4608.3999999999996</v>
          </cell>
          <cell r="B89">
            <v>79.3</v>
          </cell>
          <cell r="C89">
            <v>395.5</v>
          </cell>
          <cell r="D89">
            <v>5320</v>
          </cell>
          <cell r="E89">
            <v>66.277379755986701</v>
          </cell>
          <cell r="F89">
            <v>3959</v>
          </cell>
        </row>
        <row r="90">
          <cell r="A90">
            <v>4608.5</v>
          </cell>
          <cell r="B90">
            <v>79.7</v>
          </cell>
          <cell r="C90">
            <v>403.4</v>
          </cell>
          <cell r="D90">
            <v>5321</v>
          </cell>
          <cell r="E90">
            <v>66.924223691519103</v>
          </cell>
          <cell r="F90">
            <v>4069</v>
          </cell>
        </row>
        <row r="91">
          <cell r="A91">
            <v>4608.6000000000004</v>
          </cell>
          <cell r="B91">
            <v>80</v>
          </cell>
          <cell r="C91">
            <v>411.4</v>
          </cell>
          <cell r="D91">
            <v>5322</v>
          </cell>
          <cell r="E91">
            <v>67.590879986165405</v>
          </cell>
          <cell r="F91">
            <v>4178</v>
          </cell>
        </row>
        <row r="92">
          <cell r="A92">
            <v>4608.7</v>
          </cell>
          <cell r="B92">
            <v>80.400000000000006</v>
          </cell>
          <cell r="C92">
            <v>419.4</v>
          </cell>
          <cell r="D92">
            <v>5323</v>
          </cell>
          <cell r="E92">
            <v>68.278284086069604</v>
          </cell>
          <cell r="F92">
            <v>4288</v>
          </cell>
        </row>
        <row r="93">
          <cell r="A93">
            <v>4608.8</v>
          </cell>
          <cell r="B93">
            <v>80.7</v>
          </cell>
          <cell r="C93">
            <v>427.5</v>
          </cell>
          <cell r="D93">
            <v>5324</v>
          </cell>
          <cell r="E93">
            <v>68.987371437375899</v>
          </cell>
          <cell r="F93">
            <v>4398</v>
          </cell>
        </row>
        <row r="94">
          <cell r="A94">
            <v>4608.8999999999996</v>
          </cell>
          <cell r="B94">
            <v>81.099999999999994</v>
          </cell>
          <cell r="C94">
            <v>435.6</v>
          </cell>
          <cell r="D94">
            <v>5325</v>
          </cell>
          <cell r="E94">
            <v>69.719077486228699</v>
          </cell>
          <cell r="F94">
            <v>4508</v>
          </cell>
        </row>
        <row r="95">
          <cell r="A95">
            <v>4609</v>
          </cell>
          <cell r="B95">
            <v>81.5</v>
          </cell>
          <cell r="C95">
            <v>443.7</v>
          </cell>
          <cell r="D95">
            <v>5326</v>
          </cell>
          <cell r="E95">
            <v>70.474337678772002</v>
          </cell>
          <cell r="F95">
            <v>4625</v>
          </cell>
        </row>
        <row r="96">
          <cell r="A96">
            <v>4609.1000000000004</v>
          </cell>
          <cell r="B96">
            <v>82.4</v>
          </cell>
          <cell r="C96">
            <v>451.9</v>
          </cell>
          <cell r="D96">
            <v>5327</v>
          </cell>
          <cell r="E96">
            <v>71.254087461149993</v>
          </cell>
          <cell r="F96">
            <v>4742</v>
          </cell>
        </row>
        <row r="97">
          <cell r="A97">
            <v>4609.2</v>
          </cell>
          <cell r="B97">
            <v>83.4</v>
          </cell>
          <cell r="C97">
            <v>460.2</v>
          </cell>
          <cell r="D97">
            <v>5328</v>
          </cell>
          <cell r="E97">
            <v>72.059262279507095</v>
          </cell>
          <cell r="F97">
            <v>4858</v>
          </cell>
        </row>
        <row r="98">
          <cell r="A98">
            <v>4609.3</v>
          </cell>
          <cell r="B98">
            <v>84.3</v>
          </cell>
          <cell r="C98">
            <v>468.6</v>
          </cell>
          <cell r="D98">
            <v>5329</v>
          </cell>
          <cell r="E98">
            <v>72.890797579987293</v>
          </cell>
          <cell r="F98">
            <v>4975</v>
          </cell>
        </row>
        <row r="99">
          <cell r="A99">
            <v>4609.3999999999996</v>
          </cell>
          <cell r="B99">
            <v>85.3</v>
          </cell>
          <cell r="C99">
            <v>477</v>
          </cell>
          <cell r="D99">
            <v>5330</v>
          </cell>
          <cell r="E99">
            <v>73.749628808734897</v>
          </cell>
          <cell r="F99">
            <v>5091</v>
          </cell>
        </row>
        <row r="100">
          <cell r="A100">
            <v>4609.5</v>
          </cell>
          <cell r="B100">
            <v>86.2</v>
          </cell>
          <cell r="C100">
            <v>485.6</v>
          </cell>
          <cell r="D100">
            <v>5331</v>
          </cell>
          <cell r="E100">
            <v>74.636691411894006</v>
          </cell>
          <cell r="F100">
            <v>5214</v>
          </cell>
        </row>
        <row r="101">
          <cell r="A101">
            <v>4609.6000000000004</v>
          </cell>
          <cell r="B101">
            <v>87.2</v>
          </cell>
          <cell r="C101">
            <v>494.3</v>
          </cell>
          <cell r="D101">
            <v>5332</v>
          </cell>
          <cell r="E101">
            <v>75.552920835608901</v>
          </cell>
          <cell r="F101">
            <v>5337</v>
          </cell>
        </row>
        <row r="102">
          <cell r="A102">
            <v>4609.7</v>
          </cell>
          <cell r="B102">
            <v>88.1</v>
          </cell>
          <cell r="C102">
            <v>503</v>
          </cell>
          <cell r="D102">
            <v>5333</v>
          </cell>
          <cell r="E102">
            <v>76.499252526023795</v>
          </cell>
          <cell r="F102">
            <v>5460</v>
          </cell>
        </row>
        <row r="103">
          <cell r="A103">
            <v>4609.8</v>
          </cell>
          <cell r="B103">
            <v>89.1</v>
          </cell>
          <cell r="C103">
            <v>511.9</v>
          </cell>
          <cell r="D103">
            <v>5334</v>
          </cell>
          <cell r="E103">
            <v>77.476621929282899</v>
          </cell>
          <cell r="F103">
            <v>5583</v>
          </cell>
        </row>
        <row r="104">
          <cell r="A104">
            <v>4609.8999999999996</v>
          </cell>
          <cell r="B104">
            <v>90</v>
          </cell>
          <cell r="C104">
            <v>520.9</v>
          </cell>
          <cell r="D104">
            <v>5335</v>
          </cell>
          <cell r="E104">
            <v>78.485964491530297</v>
          </cell>
          <cell r="F104">
            <v>5706</v>
          </cell>
        </row>
        <row r="105">
          <cell r="A105">
            <v>4610</v>
          </cell>
          <cell r="B105">
            <v>91</v>
          </cell>
          <cell r="C105">
            <v>529.9</v>
          </cell>
          <cell r="D105">
            <v>5336</v>
          </cell>
          <cell r="E105">
            <v>79.528215658910199</v>
          </cell>
          <cell r="F105">
            <v>5835</v>
          </cell>
        </row>
        <row r="106">
          <cell r="A106">
            <v>4610.1000000000004</v>
          </cell>
          <cell r="B106">
            <v>91.4</v>
          </cell>
          <cell r="C106">
            <v>539</v>
          </cell>
          <cell r="D106">
            <v>5337</v>
          </cell>
          <cell r="E106">
            <v>80.604310877567002</v>
          </cell>
          <cell r="F106">
            <v>5963</v>
          </cell>
        </row>
        <row r="107">
          <cell r="A107">
            <v>4610.2</v>
          </cell>
          <cell r="B107">
            <v>91.8</v>
          </cell>
          <cell r="C107">
            <v>548.20000000000005</v>
          </cell>
          <cell r="D107">
            <v>5338</v>
          </cell>
          <cell r="E107">
            <v>81.715185593644705</v>
          </cell>
          <cell r="F107">
            <v>6092</v>
          </cell>
        </row>
        <row r="108">
          <cell r="A108">
            <v>4610.3</v>
          </cell>
          <cell r="B108">
            <v>92.2</v>
          </cell>
          <cell r="C108">
            <v>557.4</v>
          </cell>
          <cell r="D108">
            <v>5339</v>
          </cell>
          <cell r="E108">
            <v>82.861775253287504</v>
          </cell>
          <cell r="F108">
            <v>6221</v>
          </cell>
        </row>
        <row r="109">
          <cell r="A109">
            <v>4610.3999999999996</v>
          </cell>
          <cell r="B109">
            <v>92.6</v>
          </cell>
          <cell r="C109">
            <v>566.6</v>
          </cell>
          <cell r="D109">
            <v>5340</v>
          </cell>
          <cell r="E109">
            <v>84.045015302639698</v>
          </cell>
          <cell r="F109">
            <v>6350</v>
          </cell>
        </row>
        <row r="110">
          <cell r="A110">
            <v>4610.5</v>
          </cell>
          <cell r="B110">
            <v>93</v>
          </cell>
          <cell r="C110">
            <v>575.9</v>
          </cell>
          <cell r="D110">
            <v>5341</v>
          </cell>
          <cell r="E110">
            <v>85.265841187845496</v>
          </cell>
          <cell r="F110">
            <v>6485</v>
          </cell>
        </row>
        <row r="111">
          <cell r="A111">
            <v>4610.6000000000004</v>
          </cell>
          <cell r="B111">
            <v>93.4</v>
          </cell>
          <cell r="C111">
            <v>585.20000000000005</v>
          </cell>
          <cell r="D111">
            <v>5342</v>
          </cell>
          <cell r="E111">
            <v>86.525188355048996</v>
          </cell>
          <cell r="F111">
            <v>6619</v>
          </cell>
        </row>
        <row r="112">
          <cell r="A112">
            <v>4610.7</v>
          </cell>
          <cell r="B112">
            <v>93.8</v>
          </cell>
          <cell r="C112">
            <v>594.6</v>
          </cell>
          <cell r="D112">
            <v>5343</v>
          </cell>
          <cell r="E112">
            <v>87.823992250394497</v>
          </cell>
          <cell r="F112">
            <v>6754</v>
          </cell>
        </row>
        <row r="113">
          <cell r="A113">
            <v>4610.8</v>
          </cell>
          <cell r="B113">
            <v>94.2</v>
          </cell>
          <cell r="C113">
            <v>604</v>
          </cell>
          <cell r="D113">
            <v>5344</v>
          </cell>
          <cell r="E113">
            <v>89.163188320026194</v>
          </cell>
          <cell r="F113">
            <v>6889</v>
          </cell>
        </row>
        <row r="114">
          <cell r="A114">
            <v>4610.8999999999996</v>
          </cell>
          <cell r="B114">
            <v>94.6</v>
          </cell>
          <cell r="C114">
            <v>613.4</v>
          </cell>
          <cell r="D114">
            <v>5345</v>
          </cell>
          <cell r="E114">
            <v>90.5437120100882</v>
          </cell>
          <cell r="F114">
            <v>7023</v>
          </cell>
        </row>
        <row r="115">
          <cell r="A115">
            <v>4611</v>
          </cell>
          <cell r="B115">
            <v>95</v>
          </cell>
          <cell r="C115">
            <v>622.9</v>
          </cell>
          <cell r="D115">
            <v>5346</v>
          </cell>
          <cell r="E115">
            <v>91.966498766724797</v>
          </cell>
          <cell r="F115">
            <v>7163</v>
          </cell>
        </row>
        <row r="116">
          <cell r="A116">
            <v>4611.1000000000004</v>
          </cell>
          <cell r="B116">
            <v>95.9</v>
          </cell>
          <cell r="C116">
            <v>632.5</v>
          </cell>
          <cell r="D116">
            <v>5347</v>
          </cell>
          <cell r="E116">
            <v>93.432484036080098</v>
          </cell>
          <cell r="F116">
            <v>7304</v>
          </cell>
        </row>
        <row r="117">
          <cell r="A117">
            <v>4611.2</v>
          </cell>
          <cell r="B117">
            <v>96.8</v>
          </cell>
          <cell r="C117">
            <v>642.1</v>
          </cell>
          <cell r="D117">
            <v>5348</v>
          </cell>
          <cell r="E117">
            <v>94.942603264298398</v>
          </cell>
          <cell r="F117">
            <v>7445</v>
          </cell>
        </row>
        <row r="118">
          <cell r="A118">
            <v>4611.3</v>
          </cell>
          <cell r="B118">
            <v>97.7</v>
          </cell>
          <cell r="C118">
            <v>651.79999999999995</v>
          </cell>
          <cell r="D118">
            <v>5349</v>
          </cell>
          <cell r="E118">
            <v>96.497791897523896</v>
          </cell>
          <cell r="F118">
            <v>7585</v>
          </cell>
        </row>
        <row r="119">
          <cell r="A119">
            <v>4611.3999999999996</v>
          </cell>
          <cell r="B119">
            <v>98.6</v>
          </cell>
          <cell r="C119">
            <v>661.6</v>
          </cell>
          <cell r="D119">
            <v>5350</v>
          </cell>
          <cell r="E119">
            <v>98.098985381900604</v>
          </cell>
          <cell r="F119">
            <v>7726</v>
          </cell>
        </row>
        <row r="120">
          <cell r="A120">
            <v>4611.5</v>
          </cell>
          <cell r="B120">
            <v>99.5</v>
          </cell>
          <cell r="C120">
            <v>671.5</v>
          </cell>
          <cell r="D120">
            <v>5351</v>
          </cell>
          <cell r="E120">
            <v>99.747119163573004</v>
          </cell>
          <cell r="F120">
            <v>7874</v>
          </cell>
        </row>
        <row r="121">
          <cell r="A121">
            <v>4611.6000000000004</v>
          </cell>
          <cell r="B121">
            <v>100.4</v>
          </cell>
          <cell r="C121">
            <v>681.5</v>
          </cell>
          <cell r="D121">
            <v>5352</v>
          </cell>
          <cell r="E121">
            <v>101.44312868868499</v>
          </cell>
          <cell r="F121">
            <v>8021</v>
          </cell>
        </row>
        <row r="122">
          <cell r="A122">
            <v>4611.7</v>
          </cell>
          <cell r="B122">
            <v>101.2</v>
          </cell>
          <cell r="C122">
            <v>691.6</v>
          </cell>
          <cell r="D122">
            <v>5353</v>
          </cell>
          <cell r="E122">
            <v>103.187949403381</v>
          </cell>
          <cell r="F122">
            <v>8169</v>
          </cell>
        </row>
        <row r="123">
          <cell r="A123">
            <v>4611.8</v>
          </cell>
          <cell r="B123">
            <v>102.1</v>
          </cell>
          <cell r="C123">
            <v>701.8</v>
          </cell>
          <cell r="D123">
            <v>5354</v>
          </cell>
          <cell r="E123">
            <v>104.982516753805</v>
          </cell>
          <cell r="F123">
            <v>8317</v>
          </cell>
        </row>
        <row r="124">
          <cell r="A124">
            <v>4611.8999999999996</v>
          </cell>
          <cell r="B124">
            <v>103</v>
          </cell>
          <cell r="C124">
            <v>712</v>
          </cell>
          <cell r="D124">
            <v>5355</v>
          </cell>
          <cell r="E124">
            <v>106.827766186102</v>
          </cell>
          <cell r="F124">
            <v>8464</v>
          </cell>
        </row>
        <row r="125">
          <cell r="A125">
            <v>4612</v>
          </cell>
          <cell r="B125">
            <v>103.9</v>
          </cell>
          <cell r="C125">
            <v>722.4</v>
          </cell>
          <cell r="D125">
            <v>5356</v>
          </cell>
          <cell r="E125">
            <v>108.724633146415</v>
          </cell>
          <cell r="F125">
            <v>8618</v>
          </cell>
        </row>
        <row r="126">
          <cell r="A126">
            <v>4612.1000000000004</v>
          </cell>
          <cell r="B126">
            <v>104.4</v>
          </cell>
          <cell r="C126">
            <v>732.8</v>
          </cell>
          <cell r="D126">
            <v>5357</v>
          </cell>
          <cell r="E126">
            <v>110.674053080889</v>
          </cell>
          <cell r="F126">
            <v>8771</v>
          </cell>
        </row>
        <row r="127">
          <cell r="A127">
            <v>4612.2</v>
          </cell>
          <cell r="B127">
            <v>104.9</v>
          </cell>
          <cell r="C127">
            <v>743.3</v>
          </cell>
          <cell r="D127">
            <v>5358</v>
          </cell>
          <cell r="E127">
            <v>112.67696143566801</v>
          </cell>
          <cell r="F127">
            <v>8925</v>
          </cell>
        </row>
        <row r="128">
          <cell r="A128">
            <v>4612.3</v>
          </cell>
          <cell r="B128">
            <v>105.4</v>
          </cell>
          <cell r="C128">
            <v>753.8</v>
          </cell>
          <cell r="D128">
            <v>5359</v>
          </cell>
          <cell r="E128">
            <v>114.734293656896</v>
          </cell>
          <cell r="F128">
            <v>9078</v>
          </cell>
        </row>
        <row r="129">
          <cell r="A129">
            <v>4612.3999999999996</v>
          </cell>
          <cell r="B129">
            <v>105.9</v>
          </cell>
          <cell r="C129">
            <v>764.3</v>
          </cell>
          <cell r="D129">
            <v>5360</v>
          </cell>
          <cell r="E129">
            <v>116.84698519071701</v>
          </cell>
          <cell r="F129">
            <v>9232</v>
          </cell>
        </row>
        <row r="130">
          <cell r="A130">
            <v>4612.5</v>
          </cell>
          <cell r="B130">
            <v>106.4</v>
          </cell>
          <cell r="C130">
            <v>775</v>
          </cell>
          <cell r="D130">
            <v>5361</v>
          </cell>
          <cell r="E130">
            <v>119.015971483276</v>
          </cell>
          <cell r="F130">
            <v>9392</v>
          </cell>
        </row>
        <row r="131">
          <cell r="A131">
            <v>4612.6000000000004</v>
          </cell>
          <cell r="B131">
            <v>107</v>
          </cell>
          <cell r="C131">
            <v>785.6</v>
          </cell>
          <cell r="D131">
            <v>5362</v>
          </cell>
          <cell r="E131">
            <v>121.24218798071701</v>
          </cell>
          <cell r="F131">
            <v>9551</v>
          </cell>
        </row>
        <row r="132">
          <cell r="A132">
            <v>4612.7</v>
          </cell>
          <cell r="B132">
            <v>107.5</v>
          </cell>
          <cell r="C132">
            <v>796.4</v>
          </cell>
          <cell r="D132">
            <v>5363</v>
          </cell>
          <cell r="E132">
            <v>123.526570129183</v>
          </cell>
          <cell r="F132">
            <v>9711</v>
          </cell>
        </row>
        <row r="133">
          <cell r="A133">
            <v>4612.8</v>
          </cell>
          <cell r="B133">
            <v>108</v>
          </cell>
          <cell r="C133">
            <v>807.1</v>
          </cell>
          <cell r="D133">
            <v>5364</v>
          </cell>
          <cell r="E133">
            <v>125.87005337482</v>
          </cell>
          <cell r="F133">
            <v>9871</v>
          </cell>
        </row>
        <row r="134">
          <cell r="A134">
            <v>4612.8999999999996</v>
          </cell>
          <cell r="B134">
            <v>108.5</v>
          </cell>
          <cell r="C134">
            <v>817.9</v>
          </cell>
          <cell r="D134">
            <v>5365</v>
          </cell>
          <cell r="E134">
            <v>128.273573163771</v>
          </cell>
          <cell r="F134">
            <v>10030</v>
          </cell>
        </row>
        <row r="135">
          <cell r="A135">
            <v>4613</v>
          </cell>
          <cell r="B135">
            <v>109</v>
          </cell>
          <cell r="C135">
            <v>828.8</v>
          </cell>
          <cell r="D135">
            <v>5366</v>
          </cell>
          <cell r="E135">
            <v>130.73806494218101</v>
          </cell>
          <cell r="F135">
            <v>10195</v>
          </cell>
        </row>
        <row r="136">
          <cell r="A136">
            <v>4613.1000000000004</v>
          </cell>
          <cell r="B136">
            <v>109.8</v>
          </cell>
          <cell r="C136">
            <v>839.8</v>
          </cell>
          <cell r="D136">
            <v>5367</v>
          </cell>
          <cell r="E136">
            <v>133.26446415619299</v>
          </cell>
          <cell r="F136">
            <v>10361</v>
          </cell>
        </row>
        <row r="137">
          <cell r="A137">
            <v>4613.2</v>
          </cell>
          <cell r="B137">
            <v>110.6</v>
          </cell>
          <cell r="C137">
            <v>850.8</v>
          </cell>
          <cell r="D137">
            <v>5368</v>
          </cell>
          <cell r="E137">
            <v>135.85370625195199</v>
          </cell>
          <cell r="F137">
            <v>10526</v>
          </cell>
        </row>
        <row r="138">
          <cell r="A138">
            <v>4613.3</v>
          </cell>
          <cell r="B138">
            <v>111.4</v>
          </cell>
          <cell r="C138">
            <v>861.9</v>
          </cell>
          <cell r="D138">
            <v>5369</v>
          </cell>
          <cell r="E138">
            <v>138.50672667560301</v>
          </cell>
          <cell r="F138">
            <v>10691</v>
          </cell>
        </row>
        <row r="139">
          <cell r="A139">
            <v>4613.3999999999996</v>
          </cell>
          <cell r="B139">
            <v>112.2</v>
          </cell>
          <cell r="C139">
            <v>873.1</v>
          </cell>
          <cell r="D139">
            <v>5370</v>
          </cell>
          <cell r="E139">
            <v>141.22446087328899</v>
          </cell>
          <cell r="F139">
            <v>10857</v>
          </cell>
        </row>
        <row r="140">
          <cell r="A140">
            <v>4613.5</v>
          </cell>
          <cell r="B140">
            <v>113</v>
          </cell>
          <cell r="C140">
            <v>884.3</v>
          </cell>
          <cell r="D140">
            <v>5371</v>
          </cell>
          <cell r="E140">
            <v>144.00784429115399</v>
          </cell>
          <cell r="F140">
            <v>11029</v>
          </cell>
        </row>
        <row r="141">
          <cell r="A141">
            <v>4613.6000000000004</v>
          </cell>
          <cell r="B141">
            <v>113.8</v>
          </cell>
          <cell r="C141">
            <v>895.7</v>
          </cell>
          <cell r="D141">
            <v>5372</v>
          </cell>
          <cell r="E141">
            <v>146.857812375343</v>
          </cell>
          <cell r="F141">
            <v>11201</v>
          </cell>
        </row>
        <row r="142">
          <cell r="A142">
            <v>4613.7</v>
          </cell>
          <cell r="B142">
            <v>114.7</v>
          </cell>
          <cell r="C142">
            <v>907.1</v>
          </cell>
          <cell r="D142">
            <v>5373</v>
          </cell>
          <cell r="E142">
            <v>149.77530057199999</v>
          </cell>
          <cell r="F142">
            <v>11373</v>
          </cell>
        </row>
        <row r="143">
          <cell r="A143">
            <v>4613.8</v>
          </cell>
          <cell r="B143">
            <v>115.5</v>
          </cell>
          <cell r="C143">
            <v>918.6</v>
          </cell>
          <cell r="D143">
            <v>5374</v>
          </cell>
          <cell r="E143">
            <v>152.761244327269</v>
          </cell>
          <cell r="F143">
            <v>11546</v>
          </cell>
        </row>
        <row r="144">
          <cell r="A144">
            <v>4613.8999999999996</v>
          </cell>
          <cell r="B144">
            <v>116.3</v>
          </cell>
          <cell r="C144">
            <v>930.2</v>
          </cell>
          <cell r="D144">
            <v>5375</v>
          </cell>
          <cell r="E144">
            <v>155.816579087295</v>
          </cell>
          <cell r="F144">
            <v>11718</v>
          </cell>
        </row>
        <row r="145">
          <cell r="A145">
            <v>4614</v>
          </cell>
          <cell r="B145">
            <v>117.1</v>
          </cell>
          <cell r="C145">
            <v>941.9</v>
          </cell>
          <cell r="D145">
            <v>5376</v>
          </cell>
          <cell r="E145">
            <v>158.94224029822101</v>
          </cell>
          <cell r="F145">
            <v>11898</v>
          </cell>
        </row>
        <row r="146">
          <cell r="A146">
            <v>4614.1000000000004</v>
          </cell>
          <cell r="B146">
            <v>117.6</v>
          </cell>
          <cell r="C146">
            <v>953.6</v>
          </cell>
          <cell r="D146">
            <v>5377</v>
          </cell>
          <cell r="E146">
            <v>162.13916340619099</v>
          </cell>
          <cell r="F146">
            <v>12078</v>
          </cell>
        </row>
        <row r="147">
          <cell r="A147">
            <v>4614.2</v>
          </cell>
          <cell r="B147">
            <v>118</v>
          </cell>
          <cell r="C147">
            <v>965.4</v>
          </cell>
          <cell r="D147">
            <v>5378</v>
          </cell>
          <cell r="E147">
            <v>165.40828385735099</v>
          </cell>
          <cell r="F147">
            <v>12258</v>
          </cell>
        </row>
        <row r="148">
          <cell r="A148">
            <v>4614.3</v>
          </cell>
          <cell r="B148">
            <v>118.5</v>
          </cell>
          <cell r="C148">
            <v>977.2</v>
          </cell>
          <cell r="D148">
            <v>5379</v>
          </cell>
          <cell r="E148">
            <v>168.75053709784399</v>
          </cell>
          <cell r="F148">
            <v>12438</v>
          </cell>
        </row>
        <row r="149">
          <cell r="A149">
            <v>4614.3999999999996</v>
          </cell>
          <cell r="B149">
            <v>119</v>
          </cell>
          <cell r="C149">
            <v>989.1</v>
          </cell>
          <cell r="D149">
            <v>5380</v>
          </cell>
          <cell r="E149">
            <v>172.16685857381401</v>
          </cell>
          <cell r="F149">
            <v>12618</v>
          </cell>
        </row>
        <row r="150">
          <cell r="A150">
            <v>4614.5</v>
          </cell>
          <cell r="B150">
            <v>119.5</v>
          </cell>
          <cell r="C150">
            <v>1001</v>
          </cell>
          <cell r="D150">
            <v>5381</v>
          </cell>
          <cell r="E150">
            <v>175.65818373140601</v>
          </cell>
          <cell r="F150">
            <v>12811</v>
          </cell>
        </row>
        <row r="151">
          <cell r="A151">
            <v>4614.6000000000004</v>
          </cell>
          <cell r="B151">
            <v>120</v>
          </cell>
          <cell r="C151">
            <v>1013</v>
          </cell>
          <cell r="D151">
            <v>5382</v>
          </cell>
          <cell r="E151">
            <v>179.22544801676401</v>
          </cell>
          <cell r="F151">
            <v>13003</v>
          </cell>
        </row>
        <row r="152">
          <cell r="A152">
            <v>4614.7</v>
          </cell>
          <cell r="B152">
            <v>120.4</v>
          </cell>
          <cell r="C152">
            <v>1025</v>
          </cell>
          <cell r="D152">
            <v>5383</v>
          </cell>
          <cell r="E152">
            <v>182.86958687603101</v>
          </cell>
          <cell r="F152">
            <v>13196</v>
          </cell>
        </row>
        <row r="153">
          <cell r="A153">
            <v>4614.8</v>
          </cell>
          <cell r="B153">
            <v>120.9</v>
          </cell>
          <cell r="C153">
            <v>1037.0999999999999</v>
          </cell>
        </row>
        <row r="154">
          <cell r="A154">
            <v>4614.8999999999996</v>
          </cell>
          <cell r="B154">
            <v>121.4</v>
          </cell>
          <cell r="C154">
            <v>1049.2</v>
          </cell>
        </row>
        <row r="155">
          <cell r="A155">
            <v>4615</v>
          </cell>
          <cell r="B155">
            <v>121.9</v>
          </cell>
          <cell r="C155">
            <v>1061.3</v>
          </cell>
        </row>
        <row r="156">
          <cell r="A156">
            <v>4615.1000000000004</v>
          </cell>
          <cell r="B156">
            <v>122.8</v>
          </cell>
          <cell r="C156">
            <v>1073.5999999999999</v>
          </cell>
        </row>
        <row r="157">
          <cell r="A157">
            <v>4615.2</v>
          </cell>
          <cell r="B157">
            <v>123.8</v>
          </cell>
          <cell r="C157">
            <v>1085.9000000000001</v>
          </cell>
        </row>
        <row r="158">
          <cell r="A158">
            <v>4615.3</v>
          </cell>
          <cell r="B158">
            <v>124.7</v>
          </cell>
          <cell r="C158">
            <v>1098.3</v>
          </cell>
        </row>
        <row r="159">
          <cell r="A159">
            <v>4615.3999999999996</v>
          </cell>
          <cell r="B159">
            <v>125.6</v>
          </cell>
          <cell r="C159">
            <v>1110.8</v>
          </cell>
        </row>
        <row r="160">
          <cell r="A160">
            <v>4615.5</v>
          </cell>
          <cell r="B160">
            <v>126.6</v>
          </cell>
          <cell r="C160">
            <v>1123.4000000000001</v>
          </cell>
        </row>
        <row r="161">
          <cell r="A161">
            <v>4615.6000000000004</v>
          </cell>
          <cell r="B161">
            <v>127.5</v>
          </cell>
          <cell r="C161">
            <v>1136.2</v>
          </cell>
        </row>
        <row r="162">
          <cell r="A162">
            <v>4615.7</v>
          </cell>
          <cell r="B162">
            <v>128.5</v>
          </cell>
          <cell r="C162">
            <v>1149</v>
          </cell>
        </row>
        <row r="163">
          <cell r="A163">
            <v>4615.8</v>
          </cell>
          <cell r="B163">
            <v>129.4</v>
          </cell>
          <cell r="C163">
            <v>1161.8</v>
          </cell>
        </row>
        <row r="164">
          <cell r="A164">
            <v>4615.8999999999996</v>
          </cell>
          <cell r="B164">
            <v>130.4</v>
          </cell>
          <cell r="C164">
            <v>1174.8</v>
          </cell>
        </row>
        <row r="165">
          <cell r="A165">
            <v>4616</v>
          </cell>
          <cell r="B165">
            <v>131.30000000000001</v>
          </cell>
          <cell r="C165">
            <v>1187.9000000000001</v>
          </cell>
        </row>
        <row r="166">
          <cell r="A166">
            <v>4616.1000000000004</v>
          </cell>
          <cell r="B166">
            <v>131.80000000000001</v>
          </cell>
          <cell r="C166">
            <v>1201.0999999999999</v>
          </cell>
        </row>
        <row r="167">
          <cell r="A167">
            <v>4616.2</v>
          </cell>
          <cell r="B167">
            <v>132.30000000000001</v>
          </cell>
          <cell r="C167">
            <v>1214.3</v>
          </cell>
        </row>
        <row r="168">
          <cell r="A168">
            <v>4616.3</v>
          </cell>
          <cell r="B168">
            <v>132.80000000000001</v>
          </cell>
          <cell r="C168">
            <v>1227.5</v>
          </cell>
        </row>
        <row r="169">
          <cell r="A169">
            <v>4616.3999999999996</v>
          </cell>
          <cell r="B169">
            <v>133.30000000000001</v>
          </cell>
          <cell r="C169">
            <v>1240.8</v>
          </cell>
        </row>
        <row r="170">
          <cell r="A170">
            <v>4616.5</v>
          </cell>
          <cell r="B170">
            <v>133.80000000000001</v>
          </cell>
          <cell r="C170">
            <v>1254.2</v>
          </cell>
        </row>
        <row r="171">
          <cell r="A171">
            <v>4616.6000000000004</v>
          </cell>
          <cell r="B171">
            <v>134.30000000000001</v>
          </cell>
          <cell r="C171">
            <v>1267.5999999999999</v>
          </cell>
        </row>
        <row r="172">
          <cell r="A172">
            <v>4616.7</v>
          </cell>
          <cell r="B172">
            <v>134.80000000000001</v>
          </cell>
          <cell r="C172">
            <v>1281</v>
          </cell>
        </row>
        <row r="173">
          <cell r="A173">
            <v>4616.8</v>
          </cell>
          <cell r="B173">
            <v>135.30000000000001</v>
          </cell>
          <cell r="C173">
            <v>1294.5</v>
          </cell>
        </row>
        <row r="174">
          <cell r="A174">
            <v>4616.8999999999996</v>
          </cell>
          <cell r="B174">
            <v>135.80000000000001</v>
          </cell>
          <cell r="C174">
            <v>1308.0999999999999</v>
          </cell>
        </row>
        <row r="175">
          <cell r="A175">
            <v>4617</v>
          </cell>
          <cell r="B175">
            <v>136.30000000000001</v>
          </cell>
          <cell r="C175">
            <v>1321.7</v>
          </cell>
        </row>
        <row r="176">
          <cell r="A176">
            <v>4617.1000000000004</v>
          </cell>
          <cell r="B176">
            <v>137.19999999999999</v>
          </cell>
          <cell r="C176">
            <v>1335.4</v>
          </cell>
        </row>
        <row r="177">
          <cell r="A177">
            <v>4617.2</v>
          </cell>
          <cell r="B177">
            <v>138.1</v>
          </cell>
          <cell r="C177">
            <v>1349.1</v>
          </cell>
        </row>
        <row r="178">
          <cell r="A178">
            <v>4617.3</v>
          </cell>
          <cell r="B178">
            <v>139.1</v>
          </cell>
          <cell r="C178">
            <v>1363</v>
          </cell>
        </row>
        <row r="179">
          <cell r="A179">
            <v>4617.3999999999996</v>
          </cell>
          <cell r="B179">
            <v>140</v>
          </cell>
          <cell r="C179">
            <v>1377</v>
          </cell>
        </row>
        <row r="180">
          <cell r="A180">
            <v>4617.5</v>
          </cell>
          <cell r="B180">
            <v>140.9</v>
          </cell>
          <cell r="C180">
            <v>1391</v>
          </cell>
        </row>
        <row r="181">
          <cell r="A181">
            <v>4617.6000000000004</v>
          </cell>
          <cell r="B181">
            <v>141.80000000000001</v>
          </cell>
          <cell r="C181">
            <v>1405.1</v>
          </cell>
        </row>
        <row r="182">
          <cell r="A182">
            <v>4617.7</v>
          </cell>
          <cell r="B182">
            <v>142.80000000000001</v>
          </cell>
          <cell r="C182">
            <v>1419.4</v>
          </cell>
        </row>
        <row r="183">
          <cell r="A183">
            <v>4617.8</v>
          </cell>
          <cell r="B183">
            <v>143.69999999999999</v>
          </cell>
          <cell r="C183">
            <v>1433.7</v>
          </cell>
        </row>
        <row r="184">
          <cell r="A184">
            <v>4617.8999999999996</v>
          </cell>
          <cell r="B184">
            <v>144.6</v>
          </cell>
          <cell r="C184">
            <v>1448.1</v>
          </cell>
        </row>
        <row r="185">
          <cell r="A185">
            <v>4618</v>
          </cell>
          <cell r="B185">
            <v>145.6</v>
          </cell>
          <cell r="C185">
            <v>1462.6</v>
          </cell>
        </row>
        <row r="186">
          <cell r="A186">
            <v>4618.1000000000004</v>
          </cell>
          <cell r="B186">
            <v>146</v>
          </cell>
          <cell r="C186">
            <v>1477.2</v>
          </cell>
        </row>
        <row r="187">
          <cell r="A187">
            <v>4618.2</v>
          </cell>
          <cell r="B187">
            <v>146.5</v>
          </cell>
          <cell r="C187">
            <v>1491.8</v>
          </cell>
        </row>
        <row r="188">
          <cell r="A188">
            <v>4618.3</v>
          </cell>
          <cell r="B188">
            <v>147</v>
          </cell>
          <cell r="C188">
            <v>1506.5</v>
          </cell>
        </row>
        <row r="189">
          <cell r="A189">
            <v>4618.3999999999996</v>
          </cell>
          <cell r="B189">
            <v>147.5</v>
          </cell>
          <cell r="C189">
            <v>1521.2</v>
          </cell>
        </row>
        <row r="190">
          <cell r="A190">
            <v>4618.5</v>
          </cell>
          <cell r="B190">
            <v>148</v>
          </cell>
          <cell r="C190">
            <v>1536</v>
          </cell>
        </row>
        <row r="191">
          <cell r="A191">
            <v>4618.6000000000004</v>
          </cell>
          <cell r="B191">
            <v>148.5</v>
          </cell>
          <cell r="C191">
            <v>1550.8</v>
          </cell>
        </row>
        <row r="192">
          <cell r="A192">
            <v>4618.7</v>
          </cell>
          <cell r="B192">
            <v>149</v>
          </cell>
          <cell r="C192">
            <v>1565.7</v>
          </cell>
        </row>
        <row r="193">
          <cell r="A193">
            <v>4618.8</v>
          </cell>
          <cell r="B193">
            <v>149.4</v>
          </cell>
          <cell r="C193">
            <v>1580.6</v>
          </cell>
        </row>
        <row r="194">
          <cell r="A194">
            <v>4618.8999999999996</v>
          </cell>
          <cell r="B194">
            <v>149.9</v>
          </cell>
          <cell r="C194">
            <v>1595.6</v>
          </cell>
        </row>
        <row r="195">
          <cell r="A195">
            <v>4619</v>
          </cell>
          <cell r="B195">
            <v>150.4</v>
          </cell>
          <cell r="C195">
            <v>1610.6</v>
          </cell>
        </row>
        <row r="196">
          <cell r="A196">
            <v>4619.1000000000004</v>
          </cell>
          <cell r="B196">
            <v>151.30000000000001</v>
          </cell>
          <cell r="C196">
            <v>1625.7</v>
          </cell>
        </row>
        <row r="197">
          <cell r="A197">
            <v>4619.2</v>
          </cell>
          <cell r="B197">
            <v>152.19999999999999</v>
          </cell>
          <cell r="C197">
            <v>1640.9</v>
          </cell>
        </row>
        <row r="198">
          <cell r="A198">
            <v>4619.3</v>
          </cell>
          <cell r="B198">
            <v>153.1</v>
          </cell>
          <cell r="C198">
            <v>1656.1</v>
          </cell>
        </row>
        <row r="199">
          <cell r="A199">
            <v>4619.3999999999996</v>
          </cell>
          <cell r="B199">
            <v>153.9</v>
          </cell>
          <cell r="C199">
            <v>1671.5</v>
          </cell>
        </row>
        <row r="200">
          <cell r="A200">
            <v>4619.5</v>
          </cell>
          <cell r="B200">
            <v>154.80000000000001</v>
          </cell>
          <cell r="C200">
            <v>1686.9</v>
          </cell>
        </row>
        <row r="201">
          <cell r="A201">
            <v>4619.6000000000004</v>
          </cell>
          <cell r="B201">
            <v>155.69999999999999</v>
          </cell>
          <cell r="C201">
            <v>1702.4</v>
          </cell>
        </row>
        <row r="202">
          <cell r="A202">
            <v>4619.7</v>
          </cell>
          <cell r="B202">
            <v>156.6</v>
          </cell>
          <cell r="C202">
            <v>1718</v>
          </cell>
        </row>
        <row r="203">
          <cell r="A203">
            <v>4619.8</v>
          </cell>
          <cell r="B203">
            <v>157.5</v>
          </cell>
          <cell r="C203">
            <v>1733.7</v>
          </cell>
        </row>
        <row r="204">
          <cell r="A204">
            <v>4619.8999999999996</v>
          </cell>
          <cell r="B204">
            <v>158.30000000000001</v>
          </cell>
          <cell r="C204">
            <v>1749.5</v>
          </cell>
        </row>
        <row r="205">
          <cell r="A205">
            <v>4620</v>
          </cell>
          <cell r="B205">
            <v>159.19999999999999</v>
          </cell>
          <cell r="C205">
            <v>1765.4</v>
          </cell>
        </row>
        <row r="206">
          <cell r="A206">
            <v>4620.1000000000004</v>
          </cell>
          <cell r="B206">
            <v>159.80000000000001</v>
          </cell>
          <cell r="C206">
            <v>1781.4</v>
          </cell>
        </row>
        <row r="207">
          <cell r="A207">
            <v>4620.2</v>
          </cell>
          <cell r="B207">
            <v>160.4</v>
          </cell>
          <cell r="C207">
            <v>1797.4</v>
          </cell>
        </row>
        <row r="208">
          <cell r="A208">
            <v>4620.3</v>
          </cell>
          <cell r="B208">
            <v>160.9</v>
          </cell>
          <cell r="C208">
            <v>1813.4</v>
          </cell>
        </row>
        <row r="209">
          <cell r="A209">
            <v>4620.3999999999996</v>
          </cell>
          <cell r="B209">
            <v>161.5</v>
          </cell>
          <cell r="C209">
            <v>1829.6</v>
          </cell>
        </row>
        <row r="210">
          <cell r="A210">
            <v>4620.5</v>
          </cell>
          <cell r="B210">
            <v>162.1</v>
          </cell>
          <cell r="C210">
            <v>1845.7</v>
          </cell>
        </row>
        <row r="211">
          <cell r="A211">
            <v>4620.6000000000004</v>
          </cell>
          <cell r="B211">
            <v>162.6</v>
          </cell>
          <cell r="C211">
            <v>1862</v>
          </cell>
        </row>
        <row r="212">
          <cell r="A212">
            <v>4620.7</v>
          </cell>
          <cell r="B212">
            <v>163.19999999999999</v>
          </cell>
          <cell r="C212">
            <v>1878.3</v>
          </cell>
        </row>
        <row r="213">
          <cell r="A213">
            <v>4620.8</v>
          </cell>
          <cell r="B213">
            <v>163.69999999999999</v>
          </cell>
          <cell r="C213">
            <v>1894.6</v>
          </cell>
        </row>
        <row r="214">
          <cell r="A214">
            <v>4620.8999999999996</v>
          </cell>
          <cell r="B214">
            <v>164.3</v>
          </cell>
          <cell r="C214">
            <v>1911</v>
          </cell>
        </row>
        <row r="215">
          <cell r="A215">
            <v>4621</v>
          </cell>
          <cell r="B215">
            <v>164.9</v>
          </cell>
          <cell r="C215">
            <v>1927.5</v>
          </cell>
        </row>
        <row r="216">
          <cell r="A216">
            <v>4621.1000000000004</v>
          </cell>
          <cell r="B216">
            <v>165.8</v>
          </cell>
          <cell r="C216">
            <v>1944</v>
          </cell>
        </row>
        <row r="217">
          <cell r="A217">
            <v>4621.2</v>
          </cell>
          <cell r="B217">
            <v>166.8</v>
          </cell>
          <cell r="C217">
            <v>1960.6</v>
          </cell>
        </row>
        <row r="218">
          <cell r="A218">
            <v>4621.3</v>
          </cell>
          <cell r="B218">
            <v>167.7</v>
          </cell>
          <cell r="C218">
            <v>1977.3</v>
          </cell>
        </row>
        <row r="219">
          <cell r="A219">
            <v>4621.3999999999996</v>
          </cell>
          <cell r="B219">
            <v>168.7</v>
          </cell>
          <cell r="C219">
            <v>1994.2</v>
          </cell>
        </row>
        <row r="220">
          <cell r="A220">
            <v>4621.5</v>
          </cell>
          <cell r="B220">
            <v>169.6</v>
          </cell>
          <cell r="C220">
            <v>2011.1</v>
          </cell>
        </row>
        <row r="221">
          <cell r="A221">
            <v>4621.6000000000004</v>
          </cell>
          <cell r="B221">
            <v>170.5</v>
          </cell>
          <cell r="C221">
            <v>2028.1</v>
          </cell>
        </row>
        <row r="222">
          <cell r="A222">
            <v>4621.7</v>
          </cell>
          <cell r="B222">
            <v>171.5</v>
          </cell>
          <cell r="C222">
            <v>2045.2</v>
          </cell>
        </row>
        <row r="223">
          <cell r="A223">
            <v>4621.8</v>
          </cell>
          <cell r="B223">
            <v>172.4</v>
          </cell>
          <cell r="C223">
            <v>2062.4</v>
          </cell>
        </row>
        <row r="224">
          <cell r="A224">
            <v>4621.8999999999996</v>
          </cell>
          <cell r="B224">
            <v>173.4</v>
          </cell>
          <cell r="C224">
            <v>2079.6999999999998</v>
          </cell>
        </row>
        <row r="225">
          <cell r="A225">
            <v>4622</v>
          </cell>
          <cell r="B225">
            <v>174.3</v>
          </cell>
          <cell r="C225">
            <v>2097.1</v>
          </cell>
        </row>
        <row r="226">
          <cell r="A226">
            <v>4622.1000000000004</v>
          </cell>
          <cell r="B226">
            <v>174.8</v>
          </cell>
          <cell r="C226">
            <v>2114.5</v>
          </cell>
        </row>
        <row r="227">
          <cell r="A227">
            <v>4622.2</v>
          </cell>
          <cell r="B227">
            <v>175.3</v>
          </cell>
          <cell r="C227">
            <v>2132</v>
          </cell>
        </row>
        <row r="228">
          <cell r="A228">
            <v>4622.3</v>
          </cell>
          <cell r="B228">
            <v>175.8</v>
          </cell>
          <cell r="C228">
            <v>2149.6</v>
          </cell>
        </row>
        <row r="229">
          <cell r="A229">
            <v>4622.3999999999996</v>
          </cell>
          <cell r="B229">
            <v>176.3</v>
          </cell>
          <cell r="C229">
            <v>2167.1999999999998</v>
          </cell>
        </row>
        <row r="230">
          <cell r="A230">
            <v>4622.5</v>
          </cell>
          <cell r="B230">
            <v>176.7</v>
          </cell>
          <cell r="C230">
            <v>2184.8000000000002</v>
          </cell>
        </row>
        <row r="231">
          <cell r="A231">
            <v>4622.6000000000004</v>
          </cell>
          <cell r="B231">
            <v>177.2</v>
          </cell>
          <cell r="C231">
            <v>2202.5</v>
          </cell>
        </row>
        <row r="232">
          <cell r="A232">
            <v>4622.7</v>
          </cell>
          <cell r="B232">
            <v>177.7</v>
          </cell>
          <cell r="C232">
            <v>2220.3000000000002</v>
          </cell>
        </row>
        <row r="233">
          <cell r="A233">
            <v>4622.8</v>
          </cell>
          <cell r="B233">
            <v>178.2</v>
          </cell>
          <cell r="C233">
            <v>2238.1</v>
          </cell>
        </row>
        <row r="234">
          <cell r="A234">
            <v>4622.8999999999996</v>
          </cell>
          <cell r="B234">
            <v>178.7</v>
          </cell>
          <cell r="C234">
            <v>2255.9</v>
          </cell>
        </row>
        <row r="235">
          <cell r="A235">
            <v>4623</v>
          </cell>
          <cell r="B235">
            <v>179.2</v>
          </cell>
          <cell r="C235">
            <v>2273.8000000000002</v>
          </cell>
        </row>
        <row r="236">
          <cell r="A236">
            <v>4623.1000000000004</v>
          </cell>
          <cell r="B236">
            <v>180.1</v>
          </cell>
          <cell r="C236">
            <v>2291.8000000000002</v>
          </cell>
        </row>
        <row r="237">
          <cell r="A237">
            <v>4623.2</v>
          </cell>
          <cell r="B237">
            <v>181</v>
          </cell>
          <cell r="C237">
            <v>2309.8000000000002</v>
          </cell>
        </row>
        <row r="238">
          <cell r="A238">
            <v>4623.3</v>
          </cell>
          <cell r="B238">
            <v>181.9</v>
          </cell>
          <cell r="C238">
            <v>2328</v>
          </cell>
        </row>
        <row r="239">
          <cell r="A239">
            <v>4623.3999999999996</v>
          </cell>
          <cell r="B239">
            <v>182.8</v>
          </cell>
          <cell r="C239">
            <v>2346.1999999999998</v>
          </cell>
        </row>
        <row r="240">
          <cell r="A240">
            <v>4623.5</v>
          </cell>
          <cell r="B240">
            <v>183.7</v>
          </cell>
          <cell r="C240">
            <v>2364.5</v>
          </cell>
        </row>
        <row r="241">
          <cell r="A241">
            <v>4623.6000000000004</v>
          </cell>
          <cell r="B241">
            <v>184.6</v>
          </cell>
          <cell r="C241">
            <v>2382.9</v>
          </cell>
        </row>
        <row r="242">
          <cell r="A242">
            <v>4623.7</v>
          </cell>
          <cell r="B242">
            <v>185.5</v>
          </cell>
          <cell r="C242">
            <v>2401.4</v>
          </cell>
        </row>
        <row r="243">
          <cell r="A243">
            <v>4623.8</v>
          </cell>
          <cell r="B243">
            <v>186.4</v>
          </cell>
          <cell r="C243">
            <v>2420</v>
          </cell>
        </row>
        <row r="244">
          <cell r="A244">
            <v>4623.8999999999996</v>
          </cell>
          <cell r="B244">
            <v>187.3</v>
          </cell>
          <cell r="C244">
            <v>2438.6999999999998</v>
          </cell>
        </row>
        <row r="245">
          <cell r="A245">
            <v>4624</v>
          </cell>
          <cell r="B245">
            <v>188.2</v>
          </cell>
          <cell r="C245">
            <v>2457.5</v>
          </cell>
        </row>
        <row r="246">
          <cell r="A246">
            <v>4624.1000000000004</v>
          </cell>
          <cell r="B246">
            <v>188.8</v>
          </cell>
          <cell r="C246">
            <v>2476.3000000000002</v>
          </cell>
        </row>
        <row r="247">
          <cell r="A247">
            <v>4624.2</v>
          </cell>
          <cell r="B247">
            <v>189.3</v>
          </cell>
          <cell r="C247">
            <v>2495.3000000000002</v>
          </cell>
        </row>
        <row r="248">
          <cell r="A248">
            <v>4624.3</v>
          </cell>
          <cell r="B248">
            <v>189.9</v>
          </cell>
          <cell r="C248">
            <v>2514.1999999999998</v>
          </cell>
        </row>
        <row r="249">
          <cell r="A249">
            <v>4624.3999999999996</v>
          </cell>
          <cell r="B249">
            <v>190.5</v>
          </cell>
          <cell r="C249">
            <v>2533.1999999999998</v>
          </cell>
        </row>
        <row r="250">
          <cell r="A250">
            <v>4624.5</v>
          </cell>
          <cell r="B250">
            <v>191</v>
          </cell>
          <cell r="C250">
            <v>2552.3000000000002</v>
          </cell>
        </row>
        <row r="251">
          <cell r="A251">
            <v>4624.6000000000004</v>
          </cell>
          <cell r="B251">
            <v>191.6</v>
          </cell>
          <cell r="C251">
            <v>2571.4</v>
          </cell>
        </row>
        <row r="252">
          <cell r="A252">
            <v>4624.7</v>
          </cell>
          <cell r="B252">
            <v>192.1</v>
          </cell>
          <cell r="C252">
            <v>2590.6</v>
          </cell>
        </row>
        <row r="253">
          <cell r="A253">
            <v>4624.8</v>
          </cell>
          <cell r="B253">
            <v>192.7</v>
          </cell>
          <cell r="C253">
            <v>2609.9</v>
          </cell>
        </row>
        <row r="254">
          <cell r="A254">
            <v>4624.8999999999996</v>
          </cell>
          <cell r="B254">
            <v>193.3</v>
          </cell>
          <cell r="C254">
            <v>2629.2</v>
          </cell>
        </row>
        <row r="255">
          <cell r="A255">
            <v>4625</v>
          </cell>
          <cell r="B255">
            <v>193.8</v>
          </cell>
          <cell r="C255">
            <v>2648.5</v>
          </cell>
        </row>
        <row r="256">
          <cell r="A256">
            <v>4625.1000000000004</v>
          </cell>
          <cell r="B256">
            <v>194.6</v>
          </cell>
          <cell r="C256">
            <v>2667.9</v>
          </cell>
        </row>
        <row r="257">
          <cell r="A257">
            <v>4625.2</v>
          </cell>
          <cell r="B257">
            <v>195.5</v>
          </cell>
          <cell r="C257">
            <v>2687.4</v>
          </cell>
        </row>
        <row r="258">
          <cell r="A258">
            <v>4625.3</v>
          </cell>
          <cell r="B258">
            <v>196.3</v>
          </cell>
          <cell r="C258">
            <v>2707</v>
          </cell>
        </row>
        <row r="259">
          <cell r="A259">
            <v>4625.3999999999996</v>
          </cell>
          <cell r="B259">
            <v>197.2</v>
          </cell>
          <cell r="C259">
            <v>2726.7</v>
          </cell>
        </row>
        <row r="260">
          <cell r="A260">
            <v>4625.5</v>
          </cell>
          <cell r="B260">
            <v>198</v>
          </cell>
          <cell r="C260">
            <v>2746.5</v>
          </cell>
        </row>
        <row r="261">
          <cell r="A261">
            <v>4625.6000000000004</v>
          </cell>
          <cell r="B261">
            <v>198.8</v>
          </cell>
          <cell r="C261">
            <v>2766.3</v>
          </cell>
        </row>
        <row r="262">
          <cell r="A262">
            <v>4625.7</v>
          </cell>
          <cell r="B262">
            <v>199.7</v>
          </cell>
          <cell r="C262">
            <v>2786.2</v>
          </cell>
        </row>
        <row r="263">
          <cell r="A263">
            <v>4625.8</v>
          </cell>
          <cell r="B263">
            <v>200.5</v>
          </cell>
          <cell r="C263">
            <v>2806.2</v>
          </cell>
        </row>
        <row r="264">
          <cell r="A264">
            <v>4625.8999999999996</v>
          </cell>
          <cell r="B264">
            <v>201.4</v>
          </cell>
          <cell r="C264">
            <v>2826.3</v>
          </cell>
        </row>
        <row r="265">
          <cell r="A265">
            <v>4626</v>
          </cell>
          <cell r="B265">
            <v>202.2</v>
          </cell>
          <cell r="C265">
            <v>2846.5</v>
          </cell>
        </row>
        <row r="266">
          <cell r="A266">
            <v>4626.1000000000004</v>
          </cell>
          <cell r="B266">
            <v>202.8</v>
          </cell>
          <cell r="C266">
            <v>2866.8</v>
          </cell>
        </row>
        <row r="267">
          <cell r="A267">
            <v>4626.2</v>
          </cell>
          <cell r="B267">
            <v>203.4</v>
          </cell>
          <cell r="C267">
            <v>2887.1</v>
          </cell>
        </row>
        <row r="268">
          <cell r="A268">
            <v>4626.3</v>
          </cell>
          <cell r="B268">
            <v>203.9</v>
          </cell>
          <cell r="C268">
            <v>2907.4</v>
          </cell>
        </row>
        <row r="269">
          <cell r="A269">
            <v>4626.3999999999996</v>
          </cell>
          <cell r="B269">
            <v>204.5</v>
          </cell>
          <cell r="C269">
            <v>2927.9</v>
          </cell>
        </row>
        <row r="270">
          <cell r="A270">
            <v>4626.5</v>
          </cell>
          <cell r="B270">
            <v>205.1</v>
          </cell>
          <cell r="C270">
            <v>2948.3</v>
          </cell>
        </row>
        <row r="271">
          <cell r="A271">
            <v>4626.6000000000004</v>
          </cell>
          <cell r="B271">
            <v>205.7</v>
          </cell>
          <cell r="C271">
            <v>2968.9</v>
          </cell>
        </row>
        <row r="272">
          <cell r="A272">
            <v>4626.7</v>
          </cell>
          <cell r="B272">
            <v>206.3</v>
          </cell>
          <cell r="C272">
            <v>2989.5</v>
          </cell>
        </row>
        <row r="273">
          <cell r="A273">
            <v>4626.8</v>
          </cell>
          <cell r="B273">
            <v>206.9</v>
          </cell>
          <cell r="C273">
            <v>3010.1</v>
          </cell>
        </row>
        <row r="274">
          <cell r="A274">
            <v>4626.8999999999996</v>
          </cell>
          <cell r="B274">
            <v>207.5</v>
          </cell>
          <cell r="C274">
            <v>3030.9</v>
          </cell>
        </row>
        <row r="275">
          <cell r="A275">
            <v>4627</v>
          </cell>
          <cell r="B275">
            <v>208</v>
          </cell>
          <cell r="C275">
            <v>3051.6</v>
          </cell>
        </row>
        <row r="276">
          <cell r="A276">
            <v>4627.1000000000004</v>
          </cell>
          <cell r="B276">
            <v>209.1</v>
          </cell>
          <cell r="C276">
            <v>3072.5</v>
          </cell>
        </row>
        <row r="277">
          <cell r="A277">
            <v>4627.2</v>
          </cell>
          <cell r="B277">
            <v>210.1</v>
          </cell>
          <cell r="C277">
            <v>3093.4</v>
          </cell>
        </row>
        <row r="278">
          <cell r="A278">
            <v>4627.3</v>
          </cell>
          <cell r="B278">
            <v>211.2</v>
          </cell>
          <cell r="C278">
            <v>3114.5</v>
          </cell>
        </row>
        <row r="279">
          <cell r="A279">
            <v>4627.3999999999996</v>
          </cell>
          <cell r="B279">
            <v>212.2</v>
          </cell>
          <cell r="C279">
            <v>3135.7</v>
          </cell>
        </row>
        <row r="280">
          <cell r="A280">
            <v>4627.5</v>
          </cell>
          <cell r="B280">
            <v>213.2</v>
          </cell>
          <cell r="C280">
            <v>3156.9</v>
          </cell>
        </row>
        <row r="281">
          <cell r="A281">
            <v>4627.6000000000004</v>
          </cell>
          <cell r="B281">
            <v>214.3</v>
          </cell>
          <cell r="C281">
            <v>3178.3</v>
          </cell>
        </row>
        <row r="282">
          <cell r="A282">
            <v>4627.7</v>
          </cell>
          <cell r="B282">
            <v>215.3</v>
          </cell>
          <cell r="C282">
            <v>3199.8</v>
          </cell>
        </row>
        <row r="283">
          <cell r="A283">
            <v>4627.8</v>
          </cell>
          <cell r="B283">
            <v>216.3</v>
          </cell>
          <cell r="C283">
            <v>3221.4</v>
          </cell>
        </row>
        <row r="284">
          <cell r="A284">
            <v>4627.8999999999996</v>
          </cell>
          <cell r="B284">
            <v>217.4</v>
          </cell>
          <cell r="C284">
            <v>3243.1</v>
          </cell>
        </row>
        <row r="285">
          <cell r="A285">
            <v>4628</v>
          </cell>
          <cell r="B285">
            <v>218.4</v>
          </cell>
          <cell r="C285">
            <v>3264.9</v>
          </cell>
        </row>
        <row r="286">
          <cell r="A286">
            <v>4628.1000000000004</v>
          </cell>
          <cell r="B286">
            <v>219</v>
          </cell>
          <cell r="C286">
            <v>3286.7</v>
          </cell>
        </row>
        <row r="287">
          <cell r="A287">
            <v>4628.2</v>
          </cell>
          <cell r="B287">
            <v>219.6</v>
          </cell>
          <cell r="C287">
            <v>3308.7</v>
          </cell>
        </row>
        <row r="288">
          <cell r="A288">
            <v>4628.3</v>
          </cell>
          <cell r="B288">
            <v>220.2</v>
          </cell>
          <cell r="C288">
            <v>3330.6</v>
          </cell>
        </row>
        <row r="289">
          <cell r="A289">
            <v>4628.3999999999996</v>
          </cell>
          <cell r="B289">
            <v>220.8</v>
          </cell>
          <cell r="C289">
            <v>3352.7</v>
          </cell>
        </row>
        <row r="290">
          <cell r="A290">
            <v>4628.5</v>
          </cell>
          <cell r="B290">
            <v>221.4</v>
          </cell>
          <cell r="C290">
            <v>3374.8</v>
          </cell>
        </row>
        <row r="291">
          <cell r="A291">
            <v>4628.6000000000004</v>
          </cell>
          <cell r="B291">
            <v>221.9</v>
          </cell>
          <cell r="C291">
            <v>3397</v>
          </cell>
        </row>
        <row r="292">
          <cell r="A292">
            <v>4628.7</v>
          </cell>
          <cell r="B292">
            <v>222.5</v>
          </cell>
          <cell r="C292">
            <v>3419.2</v>
          </cell>
        </row>
        <row r="293">
          <cell r="A293">
            <v>4628.8</v>
          </cell>
          <cell r="B293">
            <v>223.1</v>
          </cell>
          <cell r="C293">
            <v>3441.5</v>
          </cell>
        </row>
        <row r="294">
          <cell r="A294">
            <v>4628.9000000000005</v>
          </cell>
          <cell r="B294">
            <v>223.7</v>
          </cell>
          <cell r="C294">
            <v>3463.8</v>
          </cell>
        </row>
        <row r="295">
          <cell r="A295">
            <v>4629.0000000000009</v>
          </cell>
          <cell r="B295">
            <v>224.3</v>
          </cell>
          <cell r="C295">
            <v>3486.2</v>
          </cell>
        </row>
        <row r="296">
          <cell r="A296">
            <v>4629.1000000000013</v>
          </cell>
          <cell r="B296">
            <v>225.3</v>
          </cell>
          <cell r="C296">
            <v>3508.7</v>
          </cell>
        </row>
        <row r="297">
          <cell r="A297">
            <v>4629.2000000000016</v>
          </cell>
          <cell r="B297">
            <v>226.3</v>
          </cell>
          <cell r="C297">
            <v>3531.3</v>
          </cell>
        </row>
        <row r="298">
          <cell r="A298">
            <v>4629.300000000002</v>
          </cell>
          <cell r="B298">
            <v>227.3</v>
          </cell>
          <cell r="C298">
            <v>3554</v>
          </cell>
        </row>
        <row r="299">
          <cell r="A299">
            <v>4629.4000000000024</v>
          </cell>
          <cell r="B299">
            <v>228.3</v>
          </cell>
          <cell r="C299">
            <v>3576.7</v>
          </cell>
        </row>
        <row r="300">
          <cell r="A300">
            <v>4629.5000000000027</v>
          </cell>
          <cell r="B300">
            <v>229.3</v>
          </cell>
          <cell r="C300">
            <v>3599.6</v>
          </cell>
        </row>
        <row r="301">
          <cell r="A301">
            <v>4629.6000000000031</v>
          </cell>
          <cell r="B301">
            <v>230.3</v>
          </cell>
          <cell r="C301">
            <v>3622.6</v>
          </cell>
        </row>
        <row r="302">
          <cell r="A302">
            <v>4629.7000000000035</v>
          </cell>
          <cell r="B302">
            <v>231.3</v>
          </cell>
          <cell r="C302">
            <v>3645.7</v>
          </cell>
        </row>
        <row r="303">
          <cell r="A303">
            <v>4629.8000000000038</v>
          </cell>
          <cell r="B303">
            <v>232.3</v>
          </cell>
          <cell r="C303">
            <v>3668.9</v>
          </cell>
        </row>
        <row r="304">
          <cell r="A304">
            <v>4629.9000000000042</v>
          </cell>
          <cell r="B304">
            <v>233.3</v>
          </cell>
          <cell r="C304">
            <v>3692.1</v>
          </cell>
        </row>
        <row r="305">
          <cell r="A305">
            <v>4630.0000000000045</v>
          </cell>
          <cell r="B305">
            <v>234.3</v>
          </cell>
          <cell r="C305">
            <v>3715.5</v>
          </cell>
        </row>
        <row r="306">
          <cell r="A306">
            <v>4630.1000000000049</v>
          </cell>
          <cell r="B306">
            <v>235</v>
          </cell>
          <cell r="C306">
            <v>3739</v>
          </cell>
        </row>
        <row r="307">
          <cell r="A307">
            <v>4630.2</v>
          </cell>
          <cell r="B307">
            <v>235.6</v>
          </cell>
          <cell r="C307">
            <v>3762.5</v>
          </cell>
        </row>
        <row r="308">
          <cell r="A308">
            <v>4630.3</v>
          </cell>
          <cell r="B308">
            <v>236.3</v>
          </cell>
          <cell r="C308">
            <v>3786.1</v>
          </cell>
        </row>
        <row r="309">
          <cell r="A309">
            <v>4630.3999999999996</v>
          </cell>
          <cell r="B309">
            <v>236.9</v>
          </cell>
          <cell r="C309">
            <v>3809.8</v>
          </cell>
        </row>
        <row r="310">
          <cell r="A310">
            <v>4630.5</v>
          </cell>
          <cell r="B310">
            <v>237.6</v>
          </cell>
          <cell r="C310">
            <v>3833.5</v>
          </cell>
        </row>
        <row r="311">
          <cell r="A311">
            <v>4630.6000000000004</v>
          </cell>
          <cell r="B311">
            <v>238.2</v>
          </cell>
          <cell r="C311">
            <v>3857.3</v>
          </cell>
        </row>
        <row r="312">
          <cell r="A312">
            <v>4630.7</v>
          </cell>
          <cell r="B312">
            <v>238.9</v>
          </cell>
          <cell r="C312">
            <v>3881.2</v>
          </cell>
        </row>
        <row r="313">
          <cell r="A313">
            <v>4630.8</v>
          </cell>
          <cell r="B313">
            <v>239.5</v>
          </cell>
          <cell r="C313">
            <v>3905.1</v>
          </cell>
        </row>
        <row r="314">
          <cell r="A314">
            <v>4630.8999999999996</v>
          </cell>
          <cell r="B314">
            <v>240.2</v>
          </cell>
          <cell r="C314">
            <v>3929.1</v>
          </cell>
        </row>
        <row r="315">
          <cell r="A315">
            <v>4631</v>
          </cell>
          <cell r="B315">
            <v>240.8</v>
          </cell>
          <cell r="C315">
            <v>3953.1</v>
          </cell>
        </row>
        <row r="316">
          <cell r="A316">
            <v>4631.1000000000004</v>
          </cell>
          <cell r="B316">
            <v>241.8</v>
          </cell>
          <cell r="C316">
            <v>3977.2</v>
          </cell>
        </row>
        <row r="317">
          <cell r="A317">
            <v>4631.2</v>
          </cell>
          <cell r="B317">
            <v>242.8</v>
          </cell>
          <cell r="C317">
            <v>4001.5</v>
          </cell>
        </row>
        <row r="318">
          <cell r="A318">
            <v>4631.3</v>
          </cell>
          <cell r="B318">
            <v>243.8</v>
          </cell>
          <cell r="C318">
            <v>4025.8</v>
          </cell>
        </row>
        <row r="319">
          <cell r="A319">
            <v>4631.3999999999996</v>
          </cell>
          <cell r="B319">
            <v>244.7</v>
          </cell>
          <cell r="C319">
            <v>4050.2</v>
          </cell>
        </row>
        <row r="320">
          <cell r="A320">
            <v>4631.5</v>
          </cell>
          <cell r="B320">
            <v>245.7</v>
          </cell>
          <cell r="C320">
            <v>4074.7</v>
          </cell>
        </row>
        <row r="321">
          <cell r="A321">
            <v>4631.6000000000004</v>
          </cell>
          <cell r="B321">
            <v>246.7</v>
          </cell>
          <cell r="C321">
            <v>4099.3999999999996</v>
          </cell>
        </row>
        <row r="322">
          <cell r="A322">
            <v>4631.7</v>
          </cell>
          <cell r="B322">
            <v>247.7</v>
          </cell>
          <cell r="C322">
            <v>4124.1000000000004</v>
          </cell>
        </row>
        <row r="323">
          <cell r="A323">
            <v>4631.8</v>
          </cell>
          <cell r="B323">
            <v>248.6</v>
          </cell>
          <cell r="C323">
            <v>4148.8999999999996</v>
          </cell>
        </row>
        <row r="324">
          <cell r="A324">
            <v>4631.8999999999996</v>
          </cell>
          <cell r="B324">
            <v>249.6</v>
          </cell>
          <cell r="C324">
            <v>4173.8</v>
          </cell>
        </row>
        <row r="325">
          <cell r="A325">
            <v>4632</v>
          </cell>
          <cell r="B325">
            <v>250.6</v>
          </cell>
          <cell r="C325">
            <v>4198.8</v>
          </cell>
        </row>
        <row r="326">
          <cell r="A326">
            <v>4632.1000000000004</v>
          </cell>
          <cell r="B326">
            <v>251.3</v>
          </cell>
          <cell r="C326">
            <v>4223.8999999999996</v>
          </cell>
        </row>
        <row r="327">
          <cell r="A327">
            <v>4632.2</v>
          </cell>
          <cell r="B327">
            <v>251.9</v>
          </cell>
          <cell r="C327">
            <v>4249.1000000000004</v>
          </cell>
        </row>
        <row r="328">
          <cell r="A328">
            <v>4632.3</v>
          </cell>
          <cell r="B328">
            <v>252.6</v>
          </cell>
          <cell r="C328">
            <v>4274.3</v>
          </cell>
        </row>
        <row r="329">
          <cell r="A329">
            <v>4632.3999999999996</v>
          </cell>
          <cell r="B329">
            <v>253.2</v>
          </cell>
          <cell r="C329">
            <v>4299.6000000000004</v>
          </cell>
        </row>
        <row r="330">
          <cell r="A330">
            <v>4632.5</v>
          </cell>
          <cell r="B330">
            <v>253.9</v>
          </cell>
          <cell r="C330">
            <v>4324.8999999999996</v>
          </cell>
        </row>
        <row r="331">
          <cell r="A331">
            <v>4632.6000000000004</v>
          </cell>
          <cell r="B331">
            <v>254.5</v>
          </cell>
          <cell r="C331">
            <v>4350.3999999999996</v>
          </cell>
        </row>
        <row r="332">
          <cell r="A332">
            <v>4632.7</v>
          </cell>
          <cell r="B332">
            <v>255.2</v>
          </cell>
          <cell r="C332">
            <v>4375.8</v>
          </cell>
        </row>
        <row r="333">
          <cell r="A333">
            <v>4632.8</v>
          </cell>
          <cell r="B333">
            <v>255.8</v>
          </cell>
          <cell r="C333">
            <v>4401.3999999999996</v>
          </cell>
        </row>
        <row r="334">
          <cell r="A334">
            <v>4632.8999999999996</v>
          </cell>
          <cell r="B334">
            <v>256.5</v>
          </cell>
          <cell r="C334">
            <v>4427</v>
          </cell>
        </row>
        <row r="335">
          <cell r="A335">
            <v>4633</v>
          </cell>
          <cell r="B335">
            <v>257.10000000000002</v>
          </cell>
          <cell r="C335">
            <v>4452.7</v>
          </cell>
        </row>
        <row r="336">
          <cell r="A336">
            <v>4633.1000000000004</v>
          </cell>
          <cell r="B336">
            <v>258</v>
          </cell>
          <cell r="C336">
            <v>4478.3999999999996</v>
          </cell>
        </row>
        <row r="337">
          <cell r="A337">
            <v>4633.2</v>
          </cell>
          <cell r="B337">
            <v>259</v>
          </cell>
          <cell r="C337">
            <v>4504.3</v>
          </cell>
        </row>
        <row r="338">
          <cell r="A338">
            <v>4633.3</v>
          </cell>
          <cell r="B338">
            <v>259.89999999999998</v>
          </cell>
          <cell r="C338">
            <v>4530.2</v>
          </cell>
        </row>
        <row r="339">
          <cell r="A339">
            <v>4633.3999999999996</v>
          </cell>
          <cell r="B339">
            <v>260.8</v>
          </cell>
          <cell r="C339">
            <v>4556.3</v>
          </cell>
        </row>
        <row r="340">
          <cell r="A340">
            <v>4633.5</v>
          </cell>
          <cell r="B340">
            <v>261.7</v>
          </cell>
          <cell r="C340">
            <v>4582.3999999999996</v>
          </cell>
        </row>
        <row r="341">
          <cell r="A341">
            <v>4633.6000000000004</v>
          </cell>
          <cell r="B341">
            <v>262.7</v>
          </cell>
          <cell r="C341">
            <v>4608.6000000000004</v>
          </cell>
        </row>
        <row r="342">
          <cell r="A342">
            <v>4633.7</v>
          </cell>
          <cell r="B342">
            <v>263.60000000000002</v>
          </cell>
          <cell r="C342">
            <v>4634.8999999999996</v>
          </cell>
        </row>
        <row r="343">
          <cell r="A343">
            <v>4633.8</v>
          </cell>
          <cell r="B343">
            <v>264.5</v>
          </cell>
          <cell r="C343">
            <v>4661.3</v>
          </cell>
        </row>
        <row r="344">
          <cell r="A344">
            <v>4633.8999999999996</v>
          </cell>
          <cell r="B344">
            <v>265.39999999999998</v>
          </cell>
          <cell r="C344">
            <v>4687.8</v>
          </cell>
        </row>
        <row r="345">
          <cell r="A345">
            <v>4634</v>
          </cell>
          <cell r="B345">
            <v>266.3</v>
          </cell>
          <cell r="C345">
            <v>4714.3999999999996</v>
          </cell>
        </row>
        <row r="346">
          <cell r="A346">
            <v>4634.1000000000004</v>
          </cell>
          <cell r="B346">
            <v>267</v>
          </cell>
          <cell r="C346">
            <v>4741.1000000000004</v>
          </cell>
        </row>
        <row r="347">
          <cell r="A347">
            <v>4634.2</v>
          </cell>
          <cell r="B347">
            <v>267.60000000000002</v>
          </cell>
          <cell r="C347">
            <v>4767.8</v>
          </cell>
        </row>
        <row r="348">
          <cell r="A348">
            <v>4634.3</v>
          </cell>
          <cell r="B348">
            <v>268.2</v>
          </cell>
          <cell r="C348">
            <v>4794.6000000000004</v>
          </cell>
        </row>
        <row r="349">
          <cell r="A349">
            <v>4634.3999999999996</v>
          </cell>
          <cell r="B349">
            <v>268.8</v>
          </cell>
          <cell r="C349">
            <v>4821.3999999999996</v>
          </cell>
        </row>
        <row r="350">
          <cell r="A350">
            <v>4634.5</v>
          </cell>
          <cell r="B350">
            <v>269.39999999999998</v>
          </cell>
          <cell r="C350">
            <v>4848.3</v>
          </cell>
        </row>
        <row r="351">
          <cell r="A351">
            <v>4634.6000000000004</v>
          </cell>
          <cell r="B351">
            <v>270</v>
          </cell>
          <cell r="C351">
            <v>4875.3</v>
          </cell>
        </row>
        <row r="352">
          <cell r="A352">
            <v>4634.7</v>
          </cell>
          <cell r="B352">
            <v>270.60000000000002</v>
          </cell>
          <cell r="C352">
            <v>4902.3</v>
          </cell>
        </row>
        <row r="353">
          <cell r="A353">
            <v>4634.8</v>
          </cell>
          <cell r="B353">
            <v>271.2</v>
          </cell>
          <cell r="C353">
            <v>4929.3999999999996</v>
          </cell>
        </row>
        <row r="354">
          <cell r="A354">
            <v>4634.8999999999996</v>
          </cell>
          <cell r="B354">
            <v>271.8</v>
          </cell>
          <cell r="C354">
            <v>4956.6000000000004</v>
          </cell>
        </row>
        <row r="355">
          <cell r="A355">
            <v>4635</v>
          </cell>
          <cell r="B355">
            <v>272.39999999999998</v>
          </cell>
          <cell r="C355">
            <v>4983.8</v>
          </cell>
        </row>
        <row r="356">
          <cell r="A356">
            <v>4635.1000000000004</v>
          </cell>
          <cell r="B356">
            <v>273.2</v>
          </cell>
          <cell r="C356">
            <v>5011.1000000000004</v>
          </cell>
        </row>
        <row r="357">
          <cell r="A357">
            <v>4635.2</v>
          </cell>
          <cell r="B357">
            <v>274</v>
          </cell>
          <cell r="C357">
            <v>5038.3999999999996</v>
          </cell>
        </row>
        <row r="358">
          <cell r="A358">
            <v>4635.3</v>
          </cell>
          <cell r="B358">
            <v>274.89999999999998</v>
          </cell>
          <cell r="C358">
            <v>5065.8999999999996</v>
          </cell>
        </row>
        <row r="359">
          <cell r="A359">
            <v>4635.3999999999996</v>
          </cell>
          <cell r="B359">
            <v>275.7</v>
          </cell>
          <cell r="C359">
            <v>5093.3999999999996</v>
          </cell>
        </row>
        <row r="360">
          <cell r="A360">
            <v>4635.5</v>
          </cell>
          <cell r="B360">
            <v>276.5</v>
          </cell>
          <cell r="C360">
            <v>5121</v>
          </cell>
        </row>
        <row r="361">
          <cell r="A361">
            <v>4635.6000000000004</v>
          </cell>
          <cell r="B361">
            <v>277.3</v>
          </cell>
          <cell r="C361">
            <v>5148.7</v>
          </cell>
        </row>
        <row r="362">
          <cell r="A362">
            <v>4635.7</v>
          </cell>
          <cell r="B362">
            <v>278.10000000000002</v>
          </cell>
          <cell r="C362">
            <v>5176.5</v>
          </cell>
        </row>
        <row r="363">
          <cell r="A363">
            <v>4635.8</v>
          </cell>
          <cell r="B363">
            <v>278.89999999999998</v>
          </cell>
          <cell r="C363">
            <v>5204.3</v>
          </cell>
        </row>
        <row r="364">
          <cell r="A364">
            <v>4635.8999999999996</v>
          </cell>
          <cell r="B364">
            <v>279.8</v>
          </cell>
          <cell r="C364">
            <v>5232.3</v>
          </cell>
        </row>
        <row r="365">
          <cell r="A365">
            <v>4636</v>
          </cell>
          <cell r="B365">
            <v>280.60000000000002</v>
          </cell>
          <cell r="C365">
            <v>5260.3</v>
          </cell>
        </row>
        <row r="366">
          <cell r="A366">
            <v>4636.1000000000004</v>
          </cell>
          <cell r="B366">
            <v>281.2</v>
          </cell>
          <cell r="C366">
            <v>5288.4</v>
          </cell>
        </row>
        <row r="367">
          <cell r="A367">
            <v>4636.2</v>
          </cell>
          <cell r="B367">
            <v>281.7</v>
          </cell>
          <cell r="C367">
            <v>5316.5</v>
          </cell>
        </row>
        <row r="368">
          <cell r="A368">
            <v>4636.3</v>
          </cell>
          <cell r="B368">
            <v>282.3</v>
          </cell>
          <cell r="C368">
            <v>5344.7</v>
          </cell>
        </row>
        <row r="369">
          <cell r="A369">
            <v>4636.3999999999996</v>
          </cell>
          <cell r="B369">
            <v>282.89999999999998</v>
          </cell>
          <cell r="C369">
            <v>5373</v>
          </cell>
        </row>
        <row r="370">
          <cell r="A370">
            <v>4636.5</v>
          </cell>
          <cell r="B370">
            <v>283.5</v>
          </cell>
          <cell r="C370">
            <v>5401.3</v>
          </cell>
        </row>
        <row r="371">
          <cell r="A371">
            <v>4636.6000000000004</v>
          </cell>
          <cell r="B371">
            <v>284</v>
          </cell>
          <cell r="C371">
            <v>5429.7</v>
          </cell>
        </row>
        <row r="372">
          <cell r="A372">
            <v>4636.7</v>
          </cell>
          <cell r="B372">
            <v>284.60000000000002</v>
          </cell>
          <cell r="C372">
            <v>5458.1</v>
          </cell>
        </row>
        <row r="373">
          <cell r="A373">
            <v>4636.8</v>
          </cell>
          <cell r="B373">
            <v>285.2</v>
          </cell>
          <cell r="C373">
            <v>5486.6</v>
          </cell>
        </row>
        <row r="374">
          <cell r="A374">
            <v>4636.8999999999996</v>
          </cell>
          <cell r="B374">
            <v>285.8</v>
          </cell>
          <cell r="C374">
            <v>5515.1</v>
          </cell>
        </row>
        <row r="375">
          <cell r="A375">
            <v>4637</v>
          </cell>
          <cell r="B375">
            <v>286.3</v>
          </cell>
          <cell r="C375">
            <v>5543.7</v>
          </cell>
        </row>
        <row r="376">
          <cell r="A376">
            <v>4637.1000000000004</v>
          </cell>
          <cell r="B376">
            <v>287.3</v>
          </cell>
          <cell r="C376">
            <v>5572.4</v>
          </cell>
        </row>
        <row r="377">
          <cell r="A377">
            <v>4637.2</v>
          </cell>
          <cell r="B377">
            <v>288.2</v>
          </cell>
          <cell r="C377">
            <v>5601.2</v>
          </cell>
        </row>
        <row r="378">
          <cell r="A378">
            <v>4637.3</v>
          </cell>
          <cell r="B378">
            <v>289.10000000000002</v>
          </cell>
          <cell r="C378">
            <v>5630.1</v>
          </cell>
        </row>
        <row r="379">
          <cell r="A379">
            <v>4637.3999999999996</v>
          </cell>
          <cell r="B379">
            <v>290.10000000000002</v>
          </cell>
          <cell r="C379">
            <v>5659</v>
          </cell>
        </row>
        <row r="380">
          <cell r="A380">
            <v>4637.5</v>
          </cell>
          <cell r="B380">
            <v>291</v>
          </cell>
          <cell r="C380">
            <v>5688.1</v>
          </cell>
        </row>
        <row r="381">
          <cell r="A381">
            <v>4637.6000000000004</v>
          </cell>
          <cell r="B381">
            <v>291.89999999999998</v>
          </cell>
          <cell r="C381">
            <v>5717.2</v>
          </cell>
        </row>
        <row r="382">
          <cell r="A382">
            <v>4637.7</v>
          </cell>
          <cell r="B382">
            <v>292.89999999999998</v>
          </cell>
          <cell r="C382">
            <v>5746.5</v>
          </cell>
        </row>
        <row r="383">
          <cell r="A383">
            <v>4637.8</v>
          </cell>
          <cell r="B383">
            <v>293.8</v>
          </cell>
          <cell r="C383">
            <v>5775.8</v>
          </cell>
        </row>
        <row r="384">
          <cell r="A384">
            <v>4637.8999999999996</v>
          </cell>
          <cell r="B384">
            <v>294.8</v>
          </cell>
          <cell r="C384">
            <v>5805.2</v>
          </cell>
        </row>
        <row r="385">
          <cell r="A385">
            <v>4638</v>
          </cell>
          <cell r="B385">
            <v>295.7</v>
          </cell>
          <cell r="C385">
            <v>5834.7</v>
          </cell>
        </row>
        <row r="386">
          <cell r="A386">
            <v>4638.1000000000004</v>
          </cell>
          <cell r="B386">
            <v>296.2</v>
          </cell>
          <cell r="C386">
            <v>5864.3</v>
          </cell>
        </row>
        <row r="387">
          <cell r="A387">
            <v>4638.2</v>
          </cell>
          <cell r="B387">
            <v>296.7</v>
          </cell>
          <cell r="C387">
            <v>5894</v>
          </cell>
        </row>
        <row r="388">
          <cell r="A388">
            <v>4638.3</v>
          </cell>
          <cell r="B388">
            <v>297.2</v>
          </cell>
          <cell r="C388">
            <v>5923.7</v>
          </cell>
        </row>
        <row r="389">
          <cell r="A389">
            <v>4638.3999999999996</v>
          </cell>
          <cell r="B389">
            <v>297.8</v>
          </cell>
          <cell r="C389">
            <v>5953.4</v>
          </cell>
        </row>
        <row r="390">
          <cell r="A390">
            <v>4638.5</v>
          </cell>
          <cell r="B390">
            <v>298.3</v>
          </cell>
          <cell r="C390">
            <v>5983.2</v>
          </cell>
        </row>
        <row r="391">
          <cell r="A391">
            <v>4638.6000000000004</v>
          </cell>
          <cell r="B391">
            <v>298.8</v>
          </cell>
          <cell r="C391">
            <v>6013.1</v>
          </cell>
        </row>
        <row r="392">
          <cell r="A392">
            <v>4638.7</v>
          </cell>
          <cell r="B392">
            <v>299.3</v>
          </cell>
          <cell r="C392">
            <v>6043</v>
          </cell>
        </row>
        <row r="393">
          <cell r="A393">
            <v>4638.8</v>
          </cell>
          <cell r="B393">
            <v>299.8</v>
          </cell>
          <cell r="C393">
            <v>6073</v>
          </cell>
        </row>
        <row r="394">
          <cell r="A394">
            <v>4638.8999999999996</v>
          </cell>
          <cell r="B394">
            <v>300.39999999999998</v>
          </cell>
          <cell r="C394">
            <v>6103</v>
          </cell>
        </row>
        <row r="395">
          <cell r="A395">
            <v>4639</v>
          </cell>
          <cell r="B395">
            <v>300.89999999999998</v>
          </cell>
          <cell r="C395">
            <v>6133</v>
          </cell>
        </row>
        <row r="396">
          <cell r="A396">
            <v>4639.1000000000004</v>
          </cell>
          <cell r="B396">
            <v>301.7</v>
          </cell>
          <cell r="C396">
            <v>6163.2</v>
          </cell>
        </row>
        <row r="397">
          <cell r="A397">
            <v>4639.2</v>
          </cell>
          <cell r="B397">
            <v>302.39999999999998</v>
          </cell>
          <cell r="C397">
            <v>6193.4</v>
          </cell>
        </row>
        <row r="398">
          <cell r="A398">
            <v>4639.3</v>
          </cell>
          <cell r="B398">
            <v>303.2</v>
          </cell>
          <cell r="C398">
            <v>6223.6</v>
          </cell>
        </row>
        <row r="399">
          <cell r="A399">
            <v>4639.3999999999996</v>
          </cell>
          <cell r="B399">
            <v>304</v>
          </cell>
          <cell r="C399">
            <v>6254</v>
          </cell>
        </row>
        <row r="400">
          <cell r="A400">
            <v>4639.5</v>
          </cell>
          <cell r="B400">
            <v>304.7</v>
          </cell>
          <cell r="C400">
            <v>6284.4</v>
          </cell>
        </row>
        <row r="401">
          <cell r="A401">
            <v>4639.6000000000004</v>
          </cell>
          <cell r="B401">
            <v>305.5</v>
          </cell>
          <cell r="C401">
            <v>6315</v>
          </cell>
        </row>
        <row r="402">
          <cell r="A402">
            <v>4639.7</v>
          </cell>
          <cell r="B402">
            <v>306.3</v>
          </cell>
          <cell r="C402">
            <v>6345.5</v>
          </cell>
        </row>
        <row r="403">
          <cell r="A403">
            <v>4639.8</v>
          </cell>
          <cell r="B403">
            <v>307.10000000000002</v>
          </cell>
          <cell r="C403">
            <v>6376.2</v>
          </cell>
        </row>
        <row r="404">
          <cell r="A404">
            <v>4639.8999999999996</v>
          </cell>
          <cell r="B404">
            <v>307.8</v>
          </cell>
          <cell r="C404">
            <v>6407</v>
          </cell>
        </row>
        <row r="405">
          <cell r="A405">
            <v>4640</v>
          </cell>
          <cell r="B405">
            <v>308.60000000000002</v>
          </cell>
          <cell r="C405">
            <v>6437.8</v>
          </cell>
        </row>
        <row r="406">
          <cell r="A406">
            <v>4640.1000000000004</v>
          </cell>
          <cell r="B406">
            <v>309</v>
          </cell>
          <cell r="C406">
            <v>6468.7</v>
          </cell>
        </row>
        <row r="407">
          <cell r="A407">
            <v>4640.2</v>
          </cell>
          <cell r="B407">
            <v>309.3</v>
          </cell>
          <cell r="C407">
            <v>6499.6</v>
          </cell>
        </row>
        <row r="408">
          <cell r="A408">
            <v>4640.3</v>
          </cell>
          <cell r="B408">
            <v>309.7</v>
          </cell>
          <cell r="C408">
            <v>6530.5</v>
          </cell>
        </row>
        <row r="409">
          <cell r="A409">
            <v>4640.3999999999996</v>
          </cell>
          <cell r="B409">
            <v>310</v>
          </cell>
          <cell r="C409">
            <v>6561.5</v>
          </cell>
        </row>
        <row r="410">
          <cell r="A410">
            <v>4640.5</v>
          </cell>
          <cell r="B410">
            <v>310.39999999999998</v>
          </cell>
          <cell r="C410">
            <v>6592.5</v>
          </cell>
        </row>
        <row r="411">
          <cell r="A411">
            <v>4640.6000000000004</v>
          </cell>
          <cell r="B411">
            <v>310.8</v>
          </cell>
          <cell r="C411">
            <v>6623.6</v>
          </cell>
        </row>
        <row r="412">
          <cell r="A412">
            <v>4640.7</v>
          </cell>
          <cell r="B412">
            <v>311.10000000000002</v>
          </cell>
          <cell r="C412">
            <v>6654.7</v>
          </cell>
        </row>
        <row r="413">
          <cell r="A413">
            <v>4640.8</v>
          </cell>
          <cell r="B413">
            <v>311.5</v>
          </cell>
          <cell r="C413">
            <v>6685.8</v>
          </cell>
        </row>
        <row r="414">
          <cell r="A414">
            <v>4640.8999999999996</v>
          </cell>
          <cell r="B414">
            <v>311.8</v>
          </cell>
          <cell r="C414">
            <v>6717</v>
          </cell>
        </row>
        <row r="415">
          <cell r="A415">
            <v>4641</v>
          </cell>
          <cell r="B415">
            <v>312.2</v>
          </cell>
          <cell r="C415">
            <v>6748.2</v>
          </cell>
        </row>
        <row r="416">
          <cell r="A416">
            <v>4641.1000000000004</v>
          </cell>
          <cell r="B416">
            <v>312.60000000000002</v>
          </cell>
          <cell r="C416">
            <v>6779.4</v>
          </cell>
        </row>
        <row r="417">
          <cell r="A417">
            <v>4641.2</v>
          </cell>
          <cell r="B417">
            <v>313</v>
          </cell>
          <cell r="C417">
            <v>6810.7</v>
          </cell>
        </row>
        <row r="418">
          <cell r="A418">
            <v>4641.3</v>
          </cell>
          <cell r="B418">
            <v>313.39999999999998</v>
          </cell>
          <cell r="C418">
            <v>6842</v>
          </cell>
        </row>
        <row r="419">
          <cell r="A419">
            <v>4641.3999999999996</v>
          </cell>
          <cell r="B419">
            <v>313.89999999999998</v>
          </cell>
          <cell r="C419">
            <v>6873.4</v>
          </cell>
        </row>
        <row r="420">
          <cell r="A420">
            <v>4641.5</v>
          </cell>
          <cell r="B420">
            <v>314.3</v>
          </cell>
          <cell r="C420">
            <v>6904.8</v>
          </cell>
        </row>
        <row r="421">
          <cell r="A421">
            <v>4641.6000000000004</v>
          </cell>
          <cell r="B421">
            <v>314.7</v>
          </cell>
          <cell r="C421">
            <v>6936.2</v>
          </cell>
        </row>
        <row r="422">
          <cell r="A422">
            <v>4641.7</v>
          </cell>
          <cell r="B422">
            <v>315.10000000000002</v>
          </cell>
          <cell r="C422">
            <v>6967.7</v>
          </cell>
        </row>
        <row r="423">
          <cell r="A423">
            <v>4641.8</v>
          </cell>
          <cell r="B423">
            <v>315.5</v>
          </cell>
          <cell r="C423">
            <v>6999.3</v>
          </cell>
        </row>
        <row r="424">
          <cell r="A424">
            <v>4641.8999999999996</v>
          </cell>
          <cell r="B424">
            <v>315.89999999999998</v>
          </cell>
          <cell r="C424">
            <v>7030.8</v>
          </cell>
        </row>
        <row r="425">
          <cell r="A425">
            <v>4642</v>
          </cell>
          <cell r="B425">
            <v>316.3</v>
          </cell>
          <cell r="C425">
            <v>7062.4</v>
          </cell>
        </row>
        <row r="426">
          <cell r="A426">
            <v>4642.1000000000004</v>
          </cell>
          <cell r="B426">
            <v>316.5</v>
          </cell>
          <cell r="C426">
            <v>7094.1</v>
          </cell>
        </row>
        <row r="427">
          <cell r="A427">
            <v>4642.2</v>
          </cell>
          <cell r="B427">
            <v>316.7</v>
          </cell>
          <cell r="C427">
            <v>7125.7</v>
          </cell>
        </row>
        <row r="428">
          <cell r="A428">
            <v>4642.3</v>
          </cell>
          <cell r="B428">
            <v>316.89999999999998</v>
          </cell>
          <cell r="C428">
            <v>7157.4</v>
          </cell>
        </row>
        <row r="429">
          <cell r="A429">
            <v>4642.3999999999996</v>
          </cell>
          <cell r="B429">
            <v>317.10000000000002</v>
          </cell>
          <cell r="C429">
            <v>7189.1</v>
          </cell>
        </row>
        <row r="430">
          <cell r="A430">
            <v>4642.5</v>
          </cell>
          <cell r="B430">
            <v>317.3</v>
          </cell>
          <cell r="C430">
            <v>7220.8</v>
          </cell>
        </row>
        <row r="431">
          <cell r="A431">
            <v>4642.6000000000004</v>
          </cell>
          <cell r="B431">
            <v>317.39999999999998</v>
          </cell>
          <cell r="C431">
            <v>7252.6</v>
          </cell>
        </row>
        <row r="432">
          <cell r="A432">
            <v>4642.7</v>
          </cell>
          <cell r="B432">
            <v>317.60000000000002</v>
          </cell>
          <cell r="C432">
            <v>7284.3</v>
          </cell>
        </row>
        <row r="433">
          <cell r="A433">
            <v>4642.8</v>
          </cell>
          <cell r="B433">
            <v>317.8</v>
          </cell>
          <cell r="C433">
            <v>7316.1</v>
          </cell>
        </row>
        <row r="434">
          <cell r="A434">
            <v>4642.8999999999996</v>
          </cell>
          <cell r="B434">
            <v>318</v>
          </cell>
          <cell r="C434">
            <v>7347.9</v>
          </cell>
        </row>
        <row r="435">
          <cell r="A435">
            <v>4643</v>
          </cell>
          <cell r="B435">
            <v>318.2</v>
          </cell>
          <cell r="C435">
            <v>7379.7</v>
          </cell>
        </row>
        <row r="436">
          <cell r="A436">
            <v>4643.1000000000004</v>
          </cell>
          <cell r="B436">
            <v>318.39999999999998</v>
          </cell>
          <cell r="C436">
            <v>7411.5</v>
          </cell>
        </row>
        <row r="437">
          <cell r="A437">
            <v>4643.2</v>
          </cell>
          <cell r="B437">
            <v>318.60000000000002</v>
          </cell>
          <cell r="C437">
            <v>7443.4</v>
          </cell>
        </row>
        <row r="438">
          <cell r="A438">
            <v>4643.3</v>
          </cell>
          <cell r="B438">
            <v>318.8</v>
          </cell>
          <cell r="C438">
            <v>7475.2</v>
          </cell>
        </row>
        <row r="439">
          <cell r="A439">
            <v>4643.3999999999996</v>
          </cell>
          <cell r="B439">
            <v>319</v>
          </cell>
          <cell r="C439">
            <v>7507.1</v>
          </cell>
        </row>
        <row r="440">
          <cell r="A440">
            <v>4643.5</v>
          </cell>
          <cell r="B440">
            <v>319.3</v>
          </cell>
          <cell r="C440">
            <v>7539.1</v>
          </cell>
        </row>
        <row r="441">
          <cell r="A441">
            <v>4643.6000000000004</v>
          </cell>
          <cell r="B441">
            <v>319.5</v>
          </cell>
          <cell r="C441">
            <v>7571</v>
          </cell>
        </row>
        <row r="442">
          <cell r="A442">
            <v>4643.7</v>
          </cell>
          <cell r="B442">
            <v>319.7</v>
          </cell>
          <cell r="C442">
            <v>7603</v>
          </cell>
        </row>
        <row r="443">
          <cell r="A443">
            <v>4643.8</v>
          </cell>
          <cell r="B443">
            <v>319.89999999999998</v>
          </cell>
          <cell r="C443">
            <v>7634.9</v>
          </cell>
        </row>
        <row r="444">
          <cell r="A444">
            <v>4643.8999999999996</v>
          </cell>
          <cell r="B444">
            <v>320.10000000000002</v>
          </cell>
          <cell r="C444">
            <v>7666.9</v>
          </cell>
        </row>
        <row r="445">
          <cell r="A445">
            <v>4644</v>
          </cell>
          <cell r="B445">
            <v>320.39999999999998</v>
          </cell>
          <cell r="C445">
            <v>7699</v>
          </cell>
        </row>
        <row r="446">
          <cell r="A446">
            <v>4644.1000000000004</v>
          </cell>
          <cell r="B446">
            <v>320.5</v>
          </cell>
          <cell r="C446">
            <v>7731</v>
          </cell>
        </row>
        <row r="447">
          <cell r="A447">
            <v>4644.2</v>
          </cell>
          <cell r="B447">
            <v>320.7</v>
          </cell>
          <cell r="C447">
            <v>7763.1</v>
          </cell>
        </row>
        <row r="448">
          <cell r="A448">
            <v>4644.3</v>
          </cell>
          <cell r="B448">
            <v>320.8</v>
          </cell>
          <cell r="C448">
            <v>7795.1</v>
          </cell>
        </row>
        <row r="449">
          <cell r="A449">
            <v>4644.3999999999996</v>
          </cell>
          <cell r="B449">
            <v>321</v>
          </cell>
          <cell r="C449">
            <v>7827.2</v>
          </cell>
        </row>
        <row r="450">
          <cell r="A450">
            <v>4644.5</v>
          </cell>
          <cell r="B450">
            <v>321.10000000000002</v>
          </cell>
          <cell r="C450">
            <v>7859.3</v>
          </cell>
        </row>
        <row r="451">
          <cell r="A451">
            <v>4644.6000000000004</v>
          </cell>
          <cell r="B451">
            <v>321.3</v>
          </cell>
          <cell r="C451">
            <v>7891.5</v>
          </cell>
        </row>
        <row r="452">
          <cell r="A452">
            <v>4644.7</v>
          </cell>
          <cell r="B452">
            <v>321.5</v>
          </cell>
          <cell r="C452">
            <v>7923.6</v>
          </cell>
        </row>
        <row r="453">
          <cell r="A453">
            <v>4644.8</v>
          </cell>
          <cell r="B453">
            <v>321.60000000000002</v>
          </cell>
          <cell r="C453">
            <v>7955.8</v>
          </cell>
        </row>
        <row r="454">
          <cell r="A454">
            <v>4644.8999999999996</v>
          </cell>
          <cell r="B454">
            <v>321.8</v>
          </cell>
          <cell r="C454">
            <v>7987.9</v>
          </cell>
        </row>
        <row r="455">
          <cell r="A455">
            <v>4645</v>
          </cell>
          <cell r="B455">
            <v>321.89999999999998</v>
          </cell>
          <cell r="C455">
            <v>8020.1</v>
          </cell>
        </row>
        <row r="456">
          <cell r="A456">
            <v>4645.1000000000004</v>
          </cell>
          <cell r="B456">
            <v>322.10000000000002</v>
          </cell>
          <cell r="C456">
            <v>8052.3</v>
          </cell>
        </row>
        <row r="457">
          <cell r="A457">
            <v>4645.2</v>
          </cell>
          <cell r="B457">
            <v>322.2</v>
          </cell>
          <cell r="C457">
            <v>8084.5</v>
          </cell>
        </row>
        <row r="458">
          <cell r="A458">
            <v>4645.3</v>
          </cell>
          <cell r="B458">
            <v>322.39999999999998</v>
          </cell>
          <cell r="C458">
            <v>8116.8</v>
          </cell>
        </row>
        <row r="459">
          <cell r="A459">
            <v>4645.3999999999996</v>
          </cell>
          <cell r="B459">
            <v>322.60000000000002</v>
          </cell>
          <cell r="C459">
            <v>8149</v>
          </cell>
        </row>
        <row r="460">
          <cell r="A460">
            <v>4645.5</v>
          </cell>
          <cell r="B460">
            <v>322.7</v>
          </cell>
          <cell r="C460">
            <v>8181.3</v>
          </cell>
        </row>
        <row r="461">
          <cell r="A461">
            <v>4645.6000000000004</v>
          </cell>
          <cell r="B461">
            <v>322.89999999999998</v>
          </cell>
          <cell r="C461">
            <v>8213.5</v>
          </cell>
        </row>
        <row r="462">
          <cell r="A462">
            <v>4645.7</v>
          </cell>
          <cell r="B462">
            <v>323</v>
          </cell>
          <cell r="C462">
            <v>8245.7999999999993</v>
          </cell>
        </row>
        <row r="463">
          <cell r="A463">
            <v>4645.8</v>
          </cell>
          <cell r="B463">
            <v>323.2</v>
          </cell>
          <cell r="C463">
            <v>8278.2000000000007</v>
          </cell>
        </row>
        <row r="464">
          <cell r="A464">
            <v>4645.8999999999996</v>
          </cell>
          <cell r="B464">
            <v>323.3</v>
          </cell>
          <cell r="C464">
            <v>8310.5</v>
          </cell>
        </row>
        <row r="465">
          <cell r="A465">
            <v>4646</v>
          </cell>
          <cell r="B465">
            <v>323.5</v>
          </cell>
          <cell r="C465">
            <v>8342.7999999999993</v>
          </cell>
        </row>
        <row r="466">
          <cell r="A466">
            <v>4646.1000000000004</v>
          </cell>
          <cell r="B466">
            <v>323.7</v>
          </cell>
          <cell r="C466">
            <v>8375.2000000000007</v>
          </cell>
        </row>
        <row r="467">
          <cell r="A467">
            <v>4646.2</v>
          </cell>
          <cell r="B467">
            <v>323.8</v>
          </cell>
          <cell r="C467">
            <v>8407.5</v>
          </cell>
        </row>
        <row r="468">
          <cell r="A468">
            <v>4646.3</v>
          </cell>
          <cell r="B468">
            <v>324</v>
          </cell>
          <cell r="C468">
            <v>8439.9</v>
          </cell>
        </row>
        <row r="469">
          <cell r="A469">
            <v>4646.3999999999996</v>
          </cell>
          <cell r="B469">
            <v>324.10000000000002</v>
          </cell>
          <cell r="C469">
            <v>8472.2999999999993</v>
          </cell>
        </row>
        <row r="470">
          <cell r="A470">
            <v>4646.5</v>
          </cell>
          <cell r="B470">
            <v>324.3</v>
          </cell>
          <cell r="C470">
            <v>8504.7999999999993</v>
          </cell>
        </row>
        <row r="471">
          <cell r="A471">
            <v>4646.6000000000004</v>
          </cell>
          <cell r="B471">
            <v>324.39999999999998</v>
          </cell>
          <cell r="C471">
            <v>8537.2000000000007</v>
          </cell>
        </row>
        <row r="472">
          <cell r="A472">
            <v>4646.7</v>
          </cell>
          <cell r="B472">
            <v>324.60000000000002</v>
          </cell>
          <cell r="C472">
            <v>8569.7000000000007</v>
          </cell>
        </row>
        <row r="473">
          <cell r="A473">
            <v>4646.8</v>
          </cell>
          <cell r="B473">
            <v>324.8</v>
          </cell>
          <cell r="C473">
            <v>8602.1</v>
          </cell>
        </row>
        <row r="474">
          <cell r="A474">
            <v>4646.8999999999996</v>
          </cell>
          <cell r="B474">
            <v>324.89999999999998</v>
          </cell>
          <cell r="C474">
            <v>8634.6</v>
          </cell>
        </row>
        <row r="475">
          <cell r="A475">
            <v>4647</v>
          </cell>
          <cell r="B475">
            <v>325.10000000000002</v>
          </cell>
          <cell r="C475">
            <v>8667.1</v>
          </cell>
        </row>
        <row r="476">
          <cell r="A476">
            <v>4647.1000000000004</v>
          </cell>
          <cell r="B476">
            <v>325.2</v>
          </cell>
          <cell r="C476">
            <v>8699.6</v>
          </cell>
        </row>
        <row r="477">
          <cell r="A477">
            <v>4647.2</v>
          </cell>
          <cell r="B477">
            <v>325.39999999999998</v>
          </cell>
          <cell r="C477">
            <v>8732.2000000000007</v>
          </cell>
        </row>
        <row r="478">
          <cell r="A478">
            <v>4647.3</v>
          </cell>
          <cell r="B478">
            <v>325.60000000000002</v>
          </cell>
          <cell r="C478">
            <v>8764.7000000000007</v>
          </cell>
        </row>
        <row r="479">
          <cell r="A479">
            <v>4647.3999999999996</v>
          </cell>
          <cell r="B479">
            <v>325.7</v>
          </cell>
          <cell r="C479">
            <v>8797.2999999999993</v>
          </cell>
        </row>
        <row r="480">
          <cell r="A480">
            <v>4647.5</v>
          </cell>
          <cell r="B480">
            <v>325.89999999999998</v>
          </cell>
          <cell r="C480">
            <v>8829.9</v>
          </cell>
        </row>
        <row r="481">
          <cell r="A481">
            <v>4647.6000000000004</v>
          </cell>
          <cell r="B481">
            <v>326.10000000000002</v>
          </cell>
          <cell r="C481">
            <v>8862.4</v>
          </cell>
        </row>
        <row r="482">
          <cell r="A482">
            <v>4647.7</v>
          </cell>
          <cell r="B482">
            <v>326.2</v>
          </cell>
          <cell r="C482">
            <v>8895.1</v>
          </cell>
        </row>
        <row r="483">
          <cell r="A483">
            <v>4647.8</v>
          </cell>
          <cell r="B483">
            <v>326.39999999999998</v>
          </cell>
          <cell r="C483">
            <v>8927.7000000000007</v>
          </cell>
        </row>
        <row r="484">
          <cell r="A484">
            <v>4647.8999999999996</v>
          </cell>
          <cell r="B484">
            <v>326.5</v>
          </cell>
          <cell r="C484">
            <v>8960.2999999999993</v>
          </cell>
        </row>
        <row r="485">
          <cell r="A485">
            <v>4648</v>
          </cell>
          <cell r="B485">
            <v>326.7</v>
          </cell>
          <cell r="C485">
            <v>8993</v>
          </cell>
        </row>
        <row r="486">
          <cell r="A486">
            <v>4648.1000000000004</v>
          </cell>
          <cell r="B486">
            <v>326.89999999999998</v>
          </cell>
          <cell r="C486">
            <v>9025.7000000000007</v>
          </cell>
        </row>
        <row r="487">
          <cell r="A487">
            <v>4648.2</v>
          </cell>
          <cell r="B487">
            <v>327</v>
          </cell>
          <cell r="C487">
            <v>9058.4</v>
          </cell>
        </row>
        <row r="488">
          <cell r="A488">
            <v>4648.3</v>
          </cell>
          <cell r="B488">
            <v>327.2</v>
          </cell>
          <cell r="C488">
            <v>9091.1</v>
          </cell>
        </row>
        <row r="489">
          <cell r="A489">
            <v>4648.3999999999996</v>
          </cell>
          <cell r="B489">
            <v>327.39999999999998</v>
          </cell>
          <cell r="C489">
            <v>9123.7999999999993</v>
          </cell>
        </row>
        <row r="490">
          <cell r="A490">
            <v>4648.5</v>
          </cell>
          <cell r="B490">
            <v>327.5</v>
          </cell>
          <cell r="C490">
            <v>9156.6</v>
          </cell>
        </row>
        <row r="491">
          <cell r="A491">
            <v>4648.6000000000004</v>
          </cell>
          <cell r="B491">
            <v>327.7</v>
          </cell>
          <cell r="C491">
            <v>9189.2999999999993</v>
          </cell>
        </row>
        <row r="492">
          <cell r="A492">
            <v>4648.7</v>
          </cell>
          <cell r="B492">
            <v>327.8</v>
          </cell>
          <cell r="C492">
            <v>9222.1</v>
          </cell>
        </row>
        <row r="493">
          <cell r="A493">
            <v>4648.8</v>
          </cell>
          <cell r="B493">
            <v>328</v>
          </cell>
          <cell r="C493">
            <v>9254.9</v>
          </cell>
        </row>
        <row r="494">
          <cell r="A494">
            <v>4648.8999999999996</v>
          </cell>
          <cell r="B494">
            <v>328.2</v>
          </cell>
          <cell r="C494">
            <v>9287.7000000000007</v>
          </cell>
        </row>
        <row r="495">
          <cell r="A495">
            <v>4649</v>
          </cell>
          <cell r="B495">
            <v>328.3</v>
          </cell>
          <cell r="C495">
            <v>9320.5</v>
          </cell>
        </row>
        <row r="496">
          <cell r="A496">
            <v>4649.1000000000004</v>
          </cell>
          <cell r="B496">
            <v>328.5</v>
          </cell>
          <cell r="C496">
            <v>9353.4</v>
          </cell>
        </row>
        <row r="497">
          <cell r="A497">
            <v>4649.2</v>
          </cell>
          <cell r="B497">
            <v>328.7</v>
          </cell>
          <cell r="C497">
            <v>9386.2000000000007</v>
          </cell>
        </row>
        <row r="498">
          <cell r="A498">
            <v>4649.3</v>
          </cell>
          <cell r="B498">
            <v>328.8</v>
          </cell>
          <cell r="C498">
            <v>9419.1</v>
          </cell>
        </row>
        <row r="499">
          <cell r="A499">
            <v>4649.3999999999996</v>
          </cell>
          <cell r="B499">
            <v>329</v>
          </cell>
          <cell r="C499">
            <v>9452</v>
          </cell>
        </row>
        <row r="500">
          <cell r="A500">
            <v>4649.5</v>
          </cell>
          <cell r="B500">
            <v>329.2</v>
          </cell>
          <cell r="C500">
            <v>9484.9</v>
          </cell>
        </row>
        <row r="501">
          <cell r="A501">
            <v>4649.6000000000004</v>
          </cell>
          <cell r="B501">
            <v>329.3</v>
          </cell>
          <cell r="C501">
            <v>9517.7999999999993</v>
          </cell>
        </row>
        <row r="502">
          <cell r="A502">
            <v>4649.7</v>
          </cell>
          <cell r="B502">
            <v>329.5</v>
          </cell>
          <cell r="C502">
            <v>9550.7999999999993</v>
          </cell>
        </row>
        <row r="503">
          <cell r="A503">
            <v>4649.8</v>
          </cell>
          <cell r="B503">
            <v>329.6</v>
          </cell>
          <cell r="C503">
            <v>9583.7000000000007</v>
          </cell>
        </row>
        <row r="504">
          <cell r="A504">
            <v>4649.8999999999996</v>
          </cell>
          <cell r="B504">
            <v>329.8</v>
          </cell>
          <cell r="C504">
            <v>9616.7000000000007</v>
          </cell>
        </row>
        <row r="505">
          <cell r="A505">
            <v>4650</v>
          </cell>
          <cell r="B505">
            <v>330</v>
          </cell>
          <cell r="C505">
            <v>9649.7000000000007</v>
          </cell>
        </row>
        <row r="506">
          <cell r="A506">
            <v>4650.1000000000004</v>
          </cell>
          <cell r="B506">
            <v>330.1</v>
          </cell>
          <cell r="C506">
            <v>9682.7000000000007</v>
          </cell>
        </row>
        <row r="507">
          <cell r="A507">
            <v>4650.2</v>
          </cell>
          <cell r="B507">
            <v>330.3</v>
          </cell>
          <cell r="C507">
            <v>9715.7000000000007</v>
          </cell>
        </row>
        <row r="508">
          <cell r="A508">
            <v>4650.3</v>
          </cell>
          <cell r="B508">
            <v>330.5</v>
          </cell>
          <cell r="C508">
            <v>9748.7000000000007</v>
          </cell>
        </row>
        <row r="509">
          <cell r="A509">
            <v>4650.3999999999996</v>
          </cell>
          <cell r="B509">
            <v>330.6</v>
          </cell>
          <cell r="C509">
            <v>9781.7999999999993</v>
          </cell>
        </row>
        <row r="510">
          <cell r="A510">
            <v>4650.5</v>
          </cell>
          <cell r="B510">
            <v>330.8</v>
          </cell>
          <cell r="C510">
            <v>9814.9</v>
          </cell>
        </row>
        <row r="511">
          <cell r="A511">
            <v>4650.6000000000004</v>
          </cell>
          <cell r="B511">
            <v>331</v>
          </cell>
          <cell r="C511">
            <v>9848</v>
          </cell>
        </row>
        <row r="512">
          <cell r="A512">
            <v>4650.7</v>
          </cell>
          <cell r="B512">
            <v>331.1</v>
          </cell>
          <cell r="C512">
            <v>9881.1</v>
          </cell>
        </row>
        <row r="513">
          <cell r="A513">
            <v>4650.8</v>
          </cell>
          <cell r="B513">
            <v>331.3</v>
          </cell>
          <cell r="C513">
            <v>9914.2000000000007</v>
          </cell>
        </row>
        <row r="514">
          <cell r="A514">
            <v>4650.8999999999996</v>
          </cell>
          <cell r="B514">
            <v>331.5</v>
          </cell>
          <cell r="C514">
            <v>9947.2999999999993</v>
          </cell>
        </row>
        <row r="515">
          <cell r="A515">
            <v>4651</v>
          </cell>
          <cell r="B515">
            <v>331.7</v>
          </cell>
          <cell r="C515">
            <v>9980.5</v>
          </cell>
        </row>
        <row r="516">
          <cell r="A516">
            <v>4651.1000000000004</v>
          </cell>
          <cell r="B516">
            <v>331.8</v>
          </cell>
          <cell r="C516">
            <v>10013.700000000001</v>
          </cell>
        </row>
        <row r="517">
          <cell r="A517">
            <v>4651.2</v>
          </cell>
          <cell r="B517">
            <v>332</v>
          </cell>
          <cell r="C517">
            <v>10046.9</v>
          </cell>
        </row>
        <row r="518">
          <cell r="A518">
            <v>4651.3</v>
          </cell>
          <cell r="B518">
            <v>332.2</v>
          </cell>
          <cell r="C518">
            <v>10080.1</v>
          </cell>
        </row>
        <row r="519">
          <cell r="A519">
            <v>4651.3999999999996</v>
          </cell>
          <cell r="B519">
            <v>332.3</v>
          </cell>
          <cell r="C519">
            <v>10113.299999999999</v>
          </cell>
        </row>
        <row r="520">
          <cell r="A520">
            <v>4651.5</v>
          </cell>
          <cell r="B520">
            <v>332.5</v>
          </cell>
          <cell r="C520">
            <v>10146.5</v>
          </cell>
        </row>
        <row r="521">
          <cell r="A521">
            <v>4651.6000000000004</v>
          </cell>
          <cell r="B521">
            <v>332.7</v>
          </cell>
          <cell r="C521">
            <v>10179.799999999999</v>
          </cell>
        </row>
        <row r="522">
          <cell r="A522">
            <v>4651.7</v>
          </cell>
          <cell r="B522">
            <v>332.8</v>
          </cell>
          <cell r="C522">
            <v>10213.1</v>
          </cell>
        </row>
        <row r="523">
          <cell r="A523">
            <v>4651.8</v>
          </cell>
          <cell r="B523">
            <v>333</v>
          </cell>
          <cell r="C523">
            <v>10246.4</v>
          </cell>
        </row>
        <row r="524">
          <cell r="A524">
            <v>4651.8999999999996</v>
          </cell>
          <cell r="B524">
            <v>333.2</v>
          </cell>
          <cell r="C524">
            <v>10279.700000000001</v>
          </cell>
        </row>
        <row r="525">
          <cell r="A525">
            <v>4652</v>
          </cell>
          <cell r="B525">
            <v>333.4</v>
          </cell>
          <cell r="C525">
            <v>10313</v>
          </cell>
        </row>
        <row r="526">
          <cell r="A526">
            <v>4652.1000000000004</v>
          </cell>
          <cell r="B526">
            <v>333.5</v>
          </cell>
          <cell r="C526">
            <v>10346.299999999999</v>
          </cell>
        </row>
        <row r="527">
          <cell r="A527">
            <v>4652.2</v>
          </cell>
          <cell r="B527">
            <v>333.7</v>
          </cell>
          <cell r="C527">
            <v>10379.700000000001</v>
          </cell>
        </row>
        <row r="528">
          <cell r="A528">
            <v>4652.3</v>
          </cell>
          <cell r="B528">
            <v>333.9</v>
          </cell>
          <cell r="C528">
            <v>10413.1</v>
          </cell>
        </row>
        <row r="529">
          <cell r="A529">
            <v>4652.3999999999996</v>
          </cell>
          <cell r="B529">
            <v>334</v>
          </cell>
          <cell r="C529">
            <v>10446.5</v>
          </cell>
        </row>
        <row r="530">
          <cell r="A530">
            <v>4652.5</v>
          </cell>
          <cell r="B530">
            <v>334.2</v>
          </cell>
          <cell r="C530">
            <v>10479.9</v>
          </cell>
        </row>
        <row r="531">
          <cell r="A531">
            <v>4652.6000000000004</v>
          </cell>
          <cell r="B531">
            <v>334.4</v>
          </cell>
          <cell r="C531">
            <v>10513.3</v>
          </cell>
        </row>
        <row r="532">
          <cell r="A532">
            <v>4652.7</v>
          </cell>
          <cell r="B532">
            <v>334.5</v>
          </cell>
          <cell r="C532">
            <v>10546.8</v>
          </cell>
        </row>
        <row r="533">
          <cell r="A533">
            <v>4652.8</v>
          </cell>
          <cell r="B533">
            <v>334.7</v>
          </cell>
          <cell r="C533">
            <v>10580.2</v>
          </cell>
        </row>
        <row r="534">
          <cell r="A534">
            <v>4652.8999999999996</v>
          </cell>
          <cell r="B534">
            <v>334.9</v>
          </cell>
          <cell r="C534">
            <v>10613.7</v>
          </cell>
        </row>
        <row r="535">
          <cell r="A535">
            <v>4653</v>
          </cell>
          <cell r="B535">
            <v>335.1</v>
          </cell>
          <cell r="C535">
            <v>10647.2</v>
          </cell>
        </row>
        <row r="536">
          <cell r="A536">
            <v>4653.1000000000004</v>
          </cell>
          <cell r="B536">
            <v>335.2</v>
          </cell>
          <cell r="C536">
            <v>10680.7</v>
          </cell>
        </row>
        <row r="537">
          <cell r="A537">
            <v>4653.2</v>
          </cell>
          <cell r="B537">
            <v>335.4</v>
          </cell>
          <cell r="C537">
            <v>10714.3</v>
          </cell>
        </row>
        <row r="538">
          <cell r="A538">
            <v>4653.3</v>
          </cell>
          <cell r="B538">
            <v>335.6</v>
          </cell>
          <cell r="C538">
            <v>10747.8</v>
          </cell>
        </row>
        <row r="539">
          <cell r="A539">
            <v>4653.3999999999996</v>
          </cell>
          <cell r="B539">
            <v>335.7</v>
          </cell>
          <cell r="C539">
            <v>10781.4</v>
          </cell>
        </row>
        <row r="540">
          <cell r="A540">
            <v>4653.5</v>
          </cell>
          <cell r="B540">
            <v>335.9</v>
          </cell>
          <cell r="C540">
            <v>10815</v>
          </cell>
        </row>
        <row r="541">
          <cell r="A541">
            <v>4653.6000000000004</v>
          </cell>
          <cell r="B541">
            <v>336.1</v>
          </cell>
          <cell r="C541">
            <v>10848.6</v>
          </cell>
        </row>
        <row r="542">
          <cell r="A542">
            <v>4653.7</v>
          </cell>
          <cell r="B542">
            <v>336.3</v>
          </cell>
          <cell r="C542">
            <v>10882.2</v>
          </cell>
        </row>
        <row r="543">
          <cell r="A543">
            <v>4653.8</v>
          </cell>
          <cell r="B543">
            <v>336.4</v>
          </cell>
          <cell r="C543">
            <v>10915.8</v>
          </cell>
        </row>
        <row r="544">
          <cell r="A544">
            <v>4653.8999999999996</v>
          </cell>
          <cell r="B544">
            <v>336.6</v>
          </cell>
          <cell r="C544">
            <v>10949.5</v>
          </cell>
        </row>
        <row r="545">
          <cell r="A545">
            <v>4654</v>
          </cell>
          <cell r="B545">
            <v>336.8</v>
          </cell>
          <cell r="C545">
            <v>10983.1</v>
          </cell>
        </row>
        <row r="546">
          <cell r="A546">
            <v>4654.1000000000004</v>
          </cell>
          <cell r="B546">
            <v>336.9</v>
          </cell>
          <cell r="C546">
            <v>11016.8</v>
          </cell>
        </row>
        <row r="547">
          <cell r="A547">
            <v>4654.2</v>
          </cell>
          <cell r="B547">
            <v>337.1</v>
          </cell>
          <cell r="C547">
            <v>11050.5</v>
          </cell>
        </row>
        <row r="548">
          <cell r="A548">
            <v>4654.3</v>
          </cell>
          <cell r="B548">
            <v>337.3</v>
          </cell>
          <cell r="C548">
            <v>11084.2</v>
          </cell>
        </row>
        <row r="549">
          <cell r="A549">
            <v>4654.3999999999996</v>
          </cell>
          <cell r="B549">
            <v>337.5</v>
          </cell>
          <cell r="C549">
            <v>11118</v>
          </cell>
        </row>
        <row r="550">
          <cell r="A550">
            <v>4654.5</v>
          </cell>
          <cell r="B550">
            <v>337.7</v>
          </cell>
          <cell r="C550">
            <v>11151.7</v>
          </cell>
        </row>
        <row r="551">
          <cell r="A551">
            <v>4654.6000000000004</v>
          </cell>
          <cell r="B551">
            <v>337.8</v>
          </cell>
          <cell r="C551">
            <v>11185.5</v>
          </cell>
        </row>
        <row r="552">
          <cell r="A552">
            <v>4654.7</v>
          </cell>
          <cell r="B552">
            <v>338</v>
          </cell>
          <cell r="C552">
            <v>11219.3</v>
          </cell>
        </row>
        <row r="553">
          <cell r="A553">
            <v>4654.8</v>
          </cell>
          <cell r="B553">
            <v>338.2</v>
          </cell>
          <cell r="C553">
            <v>11253.1</v>
          </cell>
        </row>
        <row r="554">
          <cell r="A554">
            <v>4654.8999999999996</v>
          </cell>
          <cell r="B554">
            <v>338.4</v>
          </cell>
          <cell r="C554">
            <v>11286.9</v>
          </cell>
        </row>
        <row r="555">
          <cell r="A555">
            <v>4655</v>
          </cell>
          <cell r="B555">
            <v>338.5</v>
          </cell>
          <cell r="C555">
            <v>11320.8</v>
          </cell>
        </row>
        <row r="556">
          <cell r="A556">
            <v>4655.1000000000004</v>
          </cell>
          <cell r="B556">
            <v>338.7</v>
          </cell>
          <cell r="C556">
            <v>11354.7</v>
          </cell>
        </row>
        <row r="557">
          <cell r="A557">
            <v>4655.2</v>
          </cell>
          <cell r="B557">
            <v>338.9</v>
          </cell>
          <cell r="C557">
            <v>11388.5</v>
          </cell>
        </row>
        <row r="558">
          <cell r="A558">
            <v>4655.3</v>
          </cell>
          <cell r="B558">
            <v>339.1</v>
          </cell>
          <cell r="C558">
            <v>11422.4</v>
          </cell>
        </row>
        <row r="559">
          <cell r="A559">
            <v>4655.3999999999996</v>
          </cell>
          <cell r="B559">
            <v>339.3</v>
          </cell>
          <cell r="C559">
            <v>11456.4</v>
          </cell>
        </row>
        <row r="560">
          <cell r="A560">
            <v>4655.5</v>
          </cell>
          <cell r="B560">
            <v>339.4</v>
          </cell>
          <cell r="C560">
            <v>11490.3</v>
          </cell>
        </row>
        <row r="561">
          <cell r="A561">
            <v>4655.6000000000004</v>
          </cell>
          <cell r="B561">
            <v>339.6</v>
          </cell>
          <cell r="C561">
            <v>11524.2</v>
          </cell>
        </row>
        <row r="562">
          <cell r="A562">
            <v>4655.7</v>
          </cell>
          <cell r="B562">
            <v>339.8</v>
          </cell>
          <cell r="C562">
            <v>11558.2</v>
          </cell>
        </row>
        <row r="563">
          <cell r="A563">
            <v>4655.8</v>
          </cell>
          <cell r="B563">
            <v>340</v>
          </cell>
          <cell r="C563">
            <v>11592.2</v>
          </cell>
        </row>
        <row r="564">
          <cell r="A564">
            <v>4655.8999999999996</v>
          </cell>
          <cell r="B564">
            <v>340.1</v>
          </cell>
          <cell r="C564">
            <v>11626.2</v>
          </cell>
        </row>
        <row r="565">
          <cell r="A565">
            <v>4656</v>
          </cell>
          <cell r="B565">
            <v>340.3</v>
          </cell>
          <cell r="C565">
            <v>11660.2</v>
          </cell>
        </row>
        <row r="566">
          <cell r="A566">
            <v>4656.1000000000004</v>
          </cell>
          <cell r="B566">
            <v>340.5</v>
          </cell>
          <cell r="C566">
            <v>11694.3</v>
          </cell>
        </row>
        <row r="567">
          <cell r="A567">
            <v>4656.2</v>
          </cell>
          <cell r="B567">
            <v>340.7</v>
          </cell>
          <cell r="C567">
            <v>11728.3</v>
          </cell>
        </row>
        <row r="568">
          <cell r="A568">
            <v>4656.3</v>
          </cell>
          <cell r="B568">
            <v>340.9</v>
          </cell>
          <cell r="C568">
            <v>11762.4</v>
          </cell>
        </row>
        <row r="569">
          <cell r="A569">
            <v>4656.3999999999996</v>
          </cell>
          <cell r="B569">
            <v>341</v>
          </cell>
          <cell r="C569">
            <v>11796.5</v>
          </cell>
        </row>
        <row r="570">
          <cell r="A570">
            <v>4656.5</v>
          </cell>
          <cell r="B570">
            <v>341.2</v>
          </cell>
          <cell r="C570">
            <v>11830.6</v>
          </cell>
        </row>
        <row r="571">
          <cell r="A571">
            <v>4656.6000000000004</v>
          </cell>
          <cell r="B571">
            <v>341.4</v>
          </cell>
          <cell r="C571">
            <v>11864.7</v>
          </cell>
        </row>
        <row r="572">
          <cell r="A572">
            <v>4656.7</v>
          </cell>
          <cell r="B572">
            <v>341.6</v>
          </cell>
          <cell r="C572">
            <v>11898.9</v>
          </cell>
        </row>
        <row r="573">
          <cell r="A573">
            <v>4656.8</v>
          </cell>
          <cell r="B573">
            <v>341.7</v>
          </cell>
          <cell r="C573">
            <v>11933.1</v>
          </cell>
        </row>
        <row r="574">
          <cell r="A574">
            <v>4656.8999999999996</v>
          </cell>
          <cell r="B574">
            <v>341.9</v>
          </cell>
          <cell r="C574">
            <v>11967.2</v>
          </cell>
        </row>
        <row r="575">
          <cell r="A575">
            <v>4657</v>
          </cell>
          <cell r="B575">
            <v>342.1</v>
          </cell>
          <cell r="C575">
            <v>12001.4</v>
          </cell>
        </row>
        <row r="576">
          <cell r="A576">
            <v>4657.1000000000004</v>
          </cell>
          <cell r="B576">
            <v>342.3</v>
          </cell>
          <cell r="C576">
            <v>12035.7</v>
          </cell>
        </row>
        <row r="577">
          <cell r="A577">
            <v>4657.2</v>
          </cell>
          <cell r="B577">
            <v>342.5</v>
          </cell>
          <cell r="C577">
            <v>12069.9</v>
          </cell>
        </row>
        <row r="578">
          <cell r="A578">
            <v>4657.3</v>
          </cell>
          <cell r="B578">
            <v>342.7</v>
          </cell>
          <cell r="C578">
            <v>12104.2</v>
          </cell>
        </row>
        <row r="579">
          <cell r="A579">
            <v>4657.3999999999996</v>
          </cell>
          <cell r="B579">
            <v>342.9</v>
          </cell>
          <cell r="C579">
            <v>12138.5</v>
          </cell>
        </row>
        <row r="580">
          <cell r="A580">
            <v>4657.5</v>
          </cell>
          <cell r="B580">
            <v>343.1</v>
          </cell>
          <cell r="C580">
            <v>12172.8</v>
          </cell>
        </row>
        <row r="581">
          <cell r="A581">
            <v>4657.6000000000004</v>
          </cell>
          <cell r="B581">
            <v>343.3</v>
          </cell>
          <cell r="C581">
            <v>12207.1</v>
          </cell>
        </row>
        <row r="582">
          <cell r="A582">
            <v>4657.7000000000007</v>
          </cell>
          <cell r="B582">
            <v>343.4</v>
          </cell>
          <cell r="C582">
            <v>12241.4</v>
          </cell>
        </row>
        <row r="583">
          <cell r="A583">
            <v>4657.8000000000011</v>
          </cell>
          <cell r="B583">
            <v>343.6</v>
          </cell>
          <cell r="C583">
            <v>12275.8</v>
          </cell>
        </row>
        <row r="584">
          <cell r="A584">
            <v>4657.9000000000015</v>
          </cell>
          <cell r="B584">
            <v>343.8</v>
          </cell>
          <cell r="C584">
            <v>12310.1</v>
          </cell>
        </row>
        <row r="585">
          <cell r="A585">
            <v>4658.0000000000018</v>
          </cell>
          <cell r="B585">
            <v>344</v>
          </cell>
          <cell r="C585">
            <v>12344.5</v>
          </cell>
        </row>
        <row r="586">
          <cell r="A586">
            <v>4658.1000000000022</v>
          </cell>
          <cell r="B586">
            <v>345.6</v>
          </cell>
          <cell r="C586">
            <v>12379</v>
          </cell>
        </row>
        <row r="587">
          <cell r="A587">
            <v>4658.2000000000025</v>
          </cell>
          <cell r="B587">
            <v>347.1</v>
          </cell>
          <cell r="C587">
            <v>12413.6</v>
          </cell>
        </row>
        <row r="588">
          <cell r="A588">
            <v>4658.3000000000029</v>
          </cell>
          <cell r="B588">
            <v>348.7</v>
          </cell>
          <cell r="C588">
            <v>12448.4</v>
          </cell>
        </row>
        <row r="589">
          <cell r="A589">
            <v>4658.4000000000033</v>
          </cell>
          <cell r="B589">
            <v>350.2</v>
          </cell>
          <cell r="C589">
            <v>12483.4</v>
          </cell>
        </row>
        <row r="590">
          <cell r="A590">
            <v>4658.5000000000036</v>
          </cell>
          <cell r="B590">
            <v>351.8</v>
          </cell>
          <cell r="C590">
            <v>12518.5</v>
          </cell>
        </row>
        <row r="591">
          <cell r="A591">
            <v>4658.600000000004</v>
          </cell>
          <cell r="B591">
            <v>353.3</v>
          </cell>
          <cell r="C591">
            <v>12553.7</v>
          </cell>
        </row>
        <row r="592">
          <cell r="A592">
            <v>4658.7000000000044</v>
          </cell>
          <cell r="B592">
            <v>354.9</v>
          </cell>
          <cell r="C592">
            <v>12589.1</v>
          </cell>
        </row>
        <row r="593">
          <cell r="A593">
            <v>4658.8000000000047</v>
          </cell>
          <cell r="B593">
            <v>356.4</v>
          </cell>
          <cell r="C593">
            <v>12624.7</v>
          </cell>
        </row>
        <row r="594">
          <cell r="A594">
            <v>4658.8999999999996</v>
          </cell>
          <cell r="B594">
            <v>358</v>
          </cell>
          <cell r="C594">
            <v>12660.4</v>
          </cell>
        </row>
        <row r="595">
          <cell r="A595">
            <v>4659</v>
          </cell>
          <cell r="B595">
            <v>359.5</v>
          </cell>
          <cell r="C595">
            <v>12696.3</v>
          </cell>
        </row>
        <row r="596">
          <cell r="A596">
            <v>4659.1000000000004</v>
          </cell>
          <cell r="B596">
            <v>360.2</v>
          </cell>
          <cell r="C596">
            <v>12732.3</v>
          </cell>
        </row>
        <row r="597">
          <cell r="A597">
            <v>4659.2</v>
          </cell>
          <cell r="B597">
            <v>360.8</v>
          </cell>
          <cell r="C597">
            <v>12768.3</v>
          </cell>
        </row>
        <row r="598">
          <cell r="A598">
            <v>4659.3</v>
          </cell>
          <cell r="B598">
            <v>361.4</v>
          </cell>
          <cell r="C598">
            <v>12804.4</v>
          </cell>
        </row>
        <row r="599">
          <cell r="A599">
            <v>4659.3999999999996</v>
          </cell>
          <cell r="B599">
            <v>362.1</v>
          </cell>
          <cell r="C599">
            <v>12840.6</v>
          </cell>
        </row>
        <row r="600">
          <cell r="A600">
            <v>4659.5</v>
          </cell>
          <cell r="B600">
            <v>362.7</v>
          </cell>
          <cell r="C600">
            <v>12876.8</v>
          </cell>
        </row>
        <row r="601">
          <cell r="A601">
            <v>4659.6000000000004</v>
          </cell>
          <cell r="B601">
            <v>363.3</v>
          </cell>
          <cell r="C601">
            <v>12913.1</v>
          </cell>
        </row>
        <row r="602">
          <cell r="A602">
            <v>4659.7</v>
          </cell>
          <cell r="B602">
            <v>364</v>
          </cell>
          <cell r="C602">
            <v>12949.5</v>
          </cell>
        </row>
        <row r="603">
          <cell r="A603">
            <v>4659.8</v>
          </cell>
          <cell r="B603">
            <v>364.6</v>
          </cell>
          <cell r="C603">
            <v>12985.9</v>
          </cell>
        </row>
        <row r="604">
          <cell r="A604">
            <v>4659.8999999999996</v>
          </cell>
          <cell r="B604">
            <v>365.2</v>
          </cell>
          <cell r="C604">
            <v>13022.4</v>
          </cell>
        </row>
        <row r="605">
          <cell r="A605">
            <v>4660</v>
          </cell>
          <cell r="B605">
            <v>365.9</v>
          </cell>
          <cell r="C605">
            <v>13059</v>
          </cell>
        </row>
        <row r="606">
          <cell r="A606">
            <v>4660.1000000000004</v>
          </cell>
          <cell r="B606">
            <v>366.6</v>
          </cell>
          <cell r="C606">
            <v>13095.6</v>
          </cell>
        </row>
        <row r="607">
          <cell r="A607">
            <v>4660.2</v>
          </cell>
          <cell r="B607">
            <v>367.3</v>
          </cell>
          <cell r="C607">
            <v>13132.3</v>
          </cell>
        </row>
        <row r="608">
          <cell r="A608">
            <v>4660.3</v>
          </cell>
          <cell r="B608">
            <v>368.1</v>
          </cell>
          <cell r="C608">
            <v>13169.1</v>
          </cell>
        </row>
        <row r="609">
          <cell r="A609">
            <v>4660.3999999999996</v>
          </cell>
          <cell r="B609">
            <v>368.8</v>
          </cell>
          <cell r="C609">
            <v>13205.9</v>
          </cell>
        </row>
        <row r="610">
          <cell r="A610">
            <v>4660.5</v>
          </cell>
          <cell r="B610">
            <v>369.6</v>
          </cell>
          <cell r="C610">
            <v>13242.8</v>
          </cell>
        </row>
        <row r="611">
          <cell r="A611">
            <v>4660.6000000000004</v>
          </cell>
          <cell r="B611">
            <v>370.3</v>
          </cell>
          <cell r="C611">
            <v>13279.8</v>
          </cell>
        </row>
        <row r="612">
          <cell r="A612">
            <v>4660.7</v>
          </cell>
          <cell r="B612">
            <v>371</v>
          </cell>
          <cell r="C612">
            <v>13316.9</v>
          </cell>
        </row>
        <row r="613">
          <cell r="A613">
            <v>4660.8</v>
          </cell>
          <cell r="B613">
            <v>371.8</v>
          </cell>
          <cell r="C613">
            <v>13354</v>
          </cell>
        </row>
        <row r="614">
          <cell r="A614">
            <v>4660.8999999999996</v>
          </cell>
          <cell r="B614">
            <v>372.5</v>
          </cell>
          <cell r="C614">
            <v>13391.2</v>
          </cell>
        </row>
        <row r="615">
          <cell r="A615">
            <v>4661</v>
          </cell>
          <cell r="B615">
            <v>373.2</v>
          </cell>
          <cell r="C615">
            <v>13428.5</v>
          </cell>
        </row>
        <row r="616">
          <cell r="A616">
            <v>4661.1000000000004</v>
          </cell>
          <cell r="B616">
            <v>373.9</v>
          </cell>
          <cell r="C616">
            <v>13465.9</v>
          </cell>
        </row>
        <row r="617">
          <cell r="A617">
            <v>4661.2</v>
          </cell>
          <cell r="B617">
            <v>374.5</v>
          </cell>
          <cell r="C617">
            <v>13503.3</v>
          </cell>
        </row>
        <row r="618">
          <cell r="A618">
            <v>4661.3</v>
          </cell>
          <cell r="B618">
            <v>375.1</v>
          </cell>
          <cell r="C618">
            <v>13540.8</v>
          </cell>
        </row>
        <row r="619">
          <cell r="A619">
            <v>4661.3999999999996</v>
          </cell>
          <cell r="B619">
            <v>375.7</v>
          </cell>
          <cell r="C619">
            <v>13578.3</v>
          </cell>
        </row>
        <row r="620">
          <cell r="A620">
            <v>4661.5</v>
          </cell>
          <cell r="B620">
            <v>376.4</v>
          </cell>
          <cell r="C620">
            <v>13615.9</v>
          </cell>
        </row>
        <row r="621">
          <cell r="A621">
            <v>4661.6000000000004</v>
          </cell>
          <cell r="B621">
            <v>377</v>
          </cell>
          <cell r="C621">
            <v>13653.6</v>
          </cell>
        </row>
        <row r="622">
          <cell r="A622">
            <v>4661.7</v>
          </cell>
          <cell r="B622">
            <v>377.6</v>
          </cell>
          <cell r="C622">
            <v>13691.3</v>
          </cell>
        </row>
        <row r="623">
          <cell r="A623">
            <v>4661.8</v>
          </cell>
          <cell r="B623">
            <v>378.2</v>
          </cell>
          <cell r="C623">
            <v>13729.1</v>
          </cell>
        </row>
        <row r="624">
          <cell r="A624">
            <v>4661.8999999999996</v>
          </cell>
          <cell r="B624">
            <v>378.9</v>
          </cell>
          <cell r="C624">
            <v>13767</v>
          </cell>
        </row>
        <row r="625">
          <cell r="A625">
            <v>4662</v>
          </cell>
          <cell r="B625">
            <v>379.5</v>
          </cell>
          <cell r="C625">
            <v>13804.9</v>
          </cell>
        </row>
        <row r="626">
          <cell r="A626">
            <v>4662.1000000000004</v>
          </cell>
          <cell r="B626">
            <v>380.7</v>
          </cell>
          <cell r="C626">
            <v>13842.9</v>
          </cell>
        </row>
        <row r="627">
          <cell r="A627">
            <v>4662.2</v>
          </cell>
          <cell r="B627">
            <v>381.8</v>
          </cell>
          <cell r="C627">
            <v>13881</v>
          </cell>
        </row>
        <row r="628">
          <cell r="A628">
            <v>4662.3</v>
          </cell>
          <cell r="B628">
            <v>383</v>
          </cell>
          <cell r="C628">
            <v>13919.3</v>
          </cell>
        </row>
        <row r="629">
          <cell r="A629">
            <v>4662.3999999999996</v>
          </cell>
          <cell r="B629">
            <v>384.2</v>
          </cell>
          <cell r="C629">
            <v>13957.6</v>
          </cell>
        </row>
        <row r="630">
          <cell r="A630">
            <v>4662.5</v>
          </cell>
          <cell r="B630">
            <v>385.4</v>
          </cell>
          <cell r="C630">
            <v>13996.1</v>
          </cell>
        </row>
        <row r="631">
          <cell r="A631">
            <v>4662.6000000000004</v>
          </cell>
          <cell r="B631">
            <v>386.6</v>
          </cell>
          <cell r="C631">
            <v>14034.7</v>
          </cell>
        </row>
        <row r="632">
          <cell r="A632">
            <v>4662.7</v>
          </cell>
          <cell r="B632">
            <v>387.8</v>
          </cell>
          <cell r="C632">
            <v>14073.4</v>
          </cell>
        </row>
        <row r="633">
          <cell r="A633">
            <v>4662.8</v>
          </cell>
          <cell r="B633">
            <v>388.9</v>
          </cell>
          <cell r="C633">
            <v>14112.3</v>
          </cell>
        </row>
        <row r="634">
          <cell r="A634">
            <v>4662.8999999999996</v>
          </cell>
          <cell r="B634">
            <v>390.1</v>
          </cell>
          <cell r="C634">
            <v>14151.2</v>
          </cell>
        </row>
        <row r="635">
          <cell r="A635">
            <v>4663</v>
          </cell>
          <cell r="B635">
            <v>391.3</v>
          </cell>
          <cell r="C635">
            <v>14190.3</v>
          </cell>
        </row>
        <row r="636">
          <cell r="A636">
            <v>4663.1000000000004</v>
          </cell>
          <cell r="B636">
            <v>391.9</v>
          </cell>
          <cell r="C636">
            <v>14229.5</v>
          </cell>
        </row>
        <row r="637">
          <cell r="A637">
            <v>4663.2</v>
          </cell>
          <cell r="B637">
            <v>392.5</v>
          </cell>
          <cell r="C637">
            <v>14268.7</v>
          </cell>
        </row>
        <row r="638">
          <cell r="A638">
            <v>4663.3</v>
          </cell>
          <cell r="B638">
            <v>393.2</v>
          </cell>
          <cell r="C638">
            <v>14308</v>
          </cell>
        </row>
        <row r="639">
          <cell r="A639">
            <v>4663.3999999999996</v>
          </cell>
          <cell r="B639">
            <v>393.8</v>
          </cell>
          <cell r="C639">
            <v>14347.3</v>
          </cell>
        </row>
        <row r="640">
          <cell r="A640">
            <v>4663.5</v>
          </cell>
          <cell r="B640">
            <v>394.4</v>
          </cell>
          <cell r="C640">
            <v>14386.7</v>
          </cell>
        </row>
        <row r="641">
          <cell r="A641">
            <v>4663.6000000000004</v>
          </cell>
          <cell r="B641">
            <v>395</v>
          </cell>
          <cell r="C641">
            <v>14426.2</v>
          </cell>
        </row>
        <row r="642">
          <cell r="A642">
            <v>4663.7</v>
          </cell>
          <cell r="B642">
            <v>395.6</v>
          </cell>
          <cell r="C642">
            <v>14465.7</v>
          </cell>
        </row>
        <row r="643">
          <cell r="A643">
            <v>4663.8</v>
          </cell>
          <cell r="B643">
            <v>396.2</v>
          </cell>
          <cell r="C643">
            <v>14505.3</v>
          </cell>
        </row>
        <row r="644">
          <cell r="A644">
            <v>4663.8999999999996</v>
          </cell>
          <cell r="B644">
            <v>396.8</v>
          </cell>
          <cell r="C644">
            <v>14545</v>
          </cell>
        </row>
        <row r="645">
          <cell r="A645">
            <v>4664</v>
          </cell>
          <cell r="B645">
            <v>397.5</v>
          </cell>
          <cell r="C645">
            <v>14584.7</v>
          </cell>
        </row>
        <row r="646">
          <cell r="A646">
            <v>4664.1000000000004</v>
          </cell>
          <cell r="B646">
            <v>398.1</v>
          </cell>
          <cell r="C646">
            <v>14624.5</v>
          </cell>
        </row>
        <row r="647">
          <cell r="A647">
            <v>4664.2</v>
          </cell>
          <cell r="B647">
            <v>398.8</v>
          </cell>
          <cell r="C647">
            <v>14664.3</v>
          </cell>
        </row>
        <row r="648">
          <cell r="A648">
            <v>4664.3</v>
          </cell>
          <cell r="B648">
            <v>399.4</v>
          </cell>
          <cell r="C648">
            <v>14704.2</v>
          </cell>
        </row>
        <row r="649">
          <cell r="A649">
            <v>4664.3999999999996</v>
          </cell>
          <cell r="B649">
            <v>400.1</v>
          </cell>
          <cell r="C649">
            <v>14744.2</v>
          </cell>
        </row>
        <row r="650">
          <cell r="A650">
            <v>4664.5</v>
          </cell>
          <cell r="B650">
            <v>400.8</v>
          </cell>
          <cell r="C650">
            <v>14784.2</v>
          </cell>
        </row>
        <row r="651">
          <cell r="A651">
            <v>4664.6000000000004</v>
          </cell>
          <cell r="B651">
            <v>401.4</v>
          </cell>
          <cell r="C651">
            <v>14824.3</v>
          </cell>
        </row>
        <row r="652">
          <cell r="A652">
            <v>4664.7</v>
          </cell>
          <cell r="B652">
            <v>402.1</v>
          </cell>
          <cell r="C652">
            <v>14864.5</v>
          </cell>
        </row>
        <row r="653">
          <cell r="A653">
            <v>4664.8</v>
          </cell>
          <cell r="B653">
            <v>402.7</v>
          </cell>
          <cell r="C653">
            <v>14904.8</v>
          </cell>
        </row>
        <row r="654">
          <cell r="A654">
            <v>4664.8999999999996</v>
          </cell>
          <cell r="B654">
            <v>403.4</v>
          </cell>
          <cell r="C654">
            <v>14945.1</v>
          </cell>
        </row>
        <row r="655">
          <cell r="A655">
            <v>4665</v>
          </cell>
          <cell r="B655">
            <v>404.1</v>
          </cell>
          <cell r="C655">
            <v>14985.4</v>
          </cell>
        </row>
        <row r="656">
          <cell r="A656">
            <v>4665.1000000000004</v>
          </cell>
          <cell r="B656">
            <v>404.6</v>
          </cell>
          <cell r="C656">
            <v>15025.9</v>
          </cell>
        </row>
        <row r="657">
          <cell r="A657">
            <v>4665.2</v>
          </cell>
          <cell r="B657">
            <v>405.2</v>
          </cell>
          <cell r="C657">
            <v>15066.4</v>
          </cell>
        </row>
        <row r="658">
          <cell r="A658">
            <v>4665.3</v>
          </cell>
          <cell r="B658">
            <v>405.8</v>
          </cell>
          <cell r="C658">
            <v>15106.9</v>
          </cell>
        </row>
        <row r="659">
          <cell r="A659">
            <v>4665.3999999999996</v>
          </cell>
          <cell r="B659">
            <v>406.4</v>
          </cell>
          <cell r="C659">
            <v>15147.5</v>
          </cell>
        </row>
        <row r="660">
          <cell r="A660">
            <v>4665.5</v>
          </cell>
          <cell r="B660">
            <v>407</v>
          </cell>
          <cell r="C660">
            <v>15188.2</v>
          </cell>
        </row>
        <row r="661">
          <cell r="A661">
            <v>4665.6000000000004</v>
          </cell>
          <cell r="B661">
            <v>407.5</v>
          </cell>
          <cell r="C661">
            <v>15228.9</v>
          </cell>
        </row>
        <row r="662">
          <cell r="A662">
            <v>4665.7</v>
          </cell>
          <cell r="B662">
            <v>408.1</v>
          </cell>
          <cell r="C662">
            <v>15269.7</v>
          </cell>
        </row>
        <row r="663">
          <cell r="A663">
            <v>4665.8</v>
          </cell>
          <cell r="B663">
            <v>408.7</v>
          </cell>
          <cell r="C663">
            <v>15310.5</v>
          </cell>
        </row>
        <row r="664">
          <cell r="A664">
            <v>4665.8999999999996</v>
          </cell>
          <cell r="B664">
            <v>409.3</v>
          </cell>
          <cell r="C664">
            <v>15351.4</v>
          </cell>
        </row>
        <row r="665">
          <cell r="A665">
            <v>4666</v>
          </cell>
          <cell r="B665">
            <v>409.9</v>
          </cell>
          <cell r="C665">
            <v>15392.4</v>
          </cell>
        </row>
        <row r="666">
          <cell r="A666">
            <v>4666.1000000000004</v>
          </cell>
          <cell r="B666">
            <v>410.5</v>
          </cell>
          <cell r="C666">
            <v>15433.4</v>
          </cell>
        </row>
        <row r="667">
          <cell r="A667">
            <v>4666.2</v>
          </cell>
          <cell r="B667">
            <v>411.1</v>
          </cell>
          <cell r="C667">
            <v>15474.5</v>
          </cell>
        </row>
        <row r="668">
          <cell r="A668">
            <v>4666.3</v>
          </cell>
          <cell r="B668">
            <v>411.8</v>
          </cell>
          <cell r="C668">
            <v>15515.6</v>
          </cell>
        </row>
        <row r="669">
          <cell r="A669">
            <v>4666.3999999999996</v>
          </cell>
          <cell r="B669">
            <v>412.4</v>
          </cell>
          <cell r="C669">
            <v>15556.9</v>
          </cell>
        </row>
        <row r="670">
          <cell r="A670">
            <v>4666.5</v>
          </cell>
          <cell r="B670">
            <v>413.1</v>
          </cell>
          <cell r="C670">
            <v>15598.1</v>
          </cell>
        </row>
        <row r="671">
          <cell r="A671">
            <v>4666.6000000000004</v>
          </cell>
          <cell r="B671">
            <v>413.7</v>
          </cell>
          <cell r="C671">
            <v>15639.5</v>
          </cell>
        </row>
        <row r="672">
          <cell r="A672">
            <v>4666.7</v>
          </cell>
          <cell r="B672">
            <v>414.4</v>
          </cell>
          <cell r="C672">
            <v>15680.9</v>
          </cell>
        </row>
        <row r="673">
          <cell r="A673">
            <v>4666.8</v>
          </cell>
          <cell r="B673">
            <v>415</v>
          </cell>
          <cell r="C673">
            <v>15722.3</v>
          </cell>
        </row>
        <row r="674">
          <cell r="A674">
            <v>4666.8999999999996</v>
          </cell>
          <cell r="B674">
            <v>415.6</v>
          </cell>
          <cell r="C674">
            <v>15763.9</v>
          </cell>
        </row>
        <row r="675">
          <cell r="A675">
            <v>4667</v>
          </cell>
          <cell r="B675">
            <v>416.3</v>
          </cell>
          <cell r="C675">
            <v>15805.5</v>
          </cell>
        </row>
        <row r="676">
          <cell r="A676">
            <v>4667.1000000000004</v>
          </cell>
          <cell r="B676">
            <v>416.9</v>
          </cell>
          <cell r="C676">
            <v>15847.1</v>
          </cell>
        </row>
        <row r="677">
          <cell r="A677">
            <v>4667.2</v>
          </cell>
          <cell r="B677">
            <v>417.6</v>
          </cell>
          <cell r="C677">
            <v>15888.9</v>
          </cell>
        </row>
        <row r="678">
          <cell r="A678">
            <v>4667.3</v>
          </cell>
          <cell r="B678">
            <v>418.2</v>
          </cell>
          <cell r="C678">
            <v>15930.6</v>
          </cell>
        </row>
        <row r="679">
          <cell r="A679">
            <v>4667.3999999999996</v>
          </cell>
          <cell r="B679">
            <v>418.9</v>
          </cell>
          <cell r="C679">
            <v>15972.5</v>
          </cell>
        </row>
        <row r="680">
          <cell r="A680">
            <v>4667.5</v>
          </cell>
          <cell r="B680">
            <v>419.5</v>
          </cell>
          <cell r="C680">
            <v>16014.4</v>
          </cell>
        </row>
        <row r="681">
          <cell r="A681">
            <v>4667.6000000000004</v>
          </cell>
          <cell r="B681">
            <v>420.2</v>
          </cell>
          <cell r="C681">
            <v>16056.4</v>
          </cell>
        </row>
        <row r="682">
          <cell r="A682">
            <v>4667.7</v>
          </cell>
          <cell r="B682">
            <v>420.8</v>
          </cell>
          <cell r="C682">
            <v>16098.5</v>
          </cell>
        </row>
        <row r="683">
          <cell r="A683">
            <v>4667.8</v>
          </cell>
          <cell r="B683">
            <v>421.5</v>
          </cell>
          <cell r="C683">
            <v>16140.6</v>
          </cell>
        </row>
        <row r="684">
          <cell r="A684">
            <v>4667.8999999999996</v>
          </cell>
          <cell r="B684">
            <v>422.1</v>
          </cell>
          <cell r="C684">
            <v>16182.7</v>
          </cell>
        </row>
        <row r="685">
          <cell r="A685">
            <v>4668</v>
          </cell>
          <cell r="B685">
            <v>422.7</v>
          </cell>
          <cell r="C685">
            <v>16225</v>
          </cell>
        </row>
        <row r="686">
          <cell r="A686">
            <v>4668.1000000000004</v>
          </cell>
          <cell r="B686">
            <v>423.9</v>
          </cell>
          <cell r="C686">
            <v>16267.3</v>
          </cell>
        </row>
        <row r="687">
          <cell r="A687">
            <v>4668.2</v>
          </cell>
          <cell r="B687">
            <v>424.9</v>
          </cell>
          <cell r="C687">
            <v>16309.8</v>
          </cell>
        </row>
        <row r="688">
          <cell r="A688">
            <v>4668.3</v>
          </cell>
          <cell r="B688">
            <v>426</v>
          </cell>
          <cell r="C688">
            <v>16352.3</v>
          </cell>
        </row>
        <row r="689">
          <cell r="A689">
            <v>4668.3999999999996</v>
          </cell>
          <cell r="B689">
            <v>427.1</v>
          </cell>
          <cell r="C689">
            <v>16395</v>
          </cell>
        </row>
        <row r="690">
          <cell r="A690">
            <v>4668.5</v>
          </cell>
          <cell r="B690">
            <v>428.2</v>
          </cell>
          <cell r="C690">
            <v>16437.7</v>
          </cell>
        </row>
        <row r="691">
          <cell r="A691">
            <v>4668.6000000000004</v>
          </cell>
          <cell r="B691">
            <v>429.2</v>
          </cell>
          <cell r="C691">
            <v>16480.599999999999</v>
          </cell>
        </row>
        <row r="692">
          <cell r="A692">
            <v>4668.7</v>
          </cell>
          <cell r="B692">
            <v>430.3</v>
          </cell>
          <cell r="C692">
            <v>16523.599999999999</v>
          </cell>
        </row>
        <row r="693">
          <cell r="A693">
            <v>4668.8</v>
          </cell>
          <cell r="B693">
            <v>431.4</v>
          </cell>
          <cell r="C693">
            <v>16566.7</v>
          </cell>
        </row>
        <row r="694">
          <cell r="A694">
            <v>4668.8999999999996</v>
          </cell>
          <cell r="B694">
            <v>432.5</v>
          </cell>
          <cell r="C694">
            <v>16609.8</v>
          </cell>
        </row>
        <row r="695">
          <cell r="A695">
            <v>4669</v>
          </cell>
          <cell r="B695">
            <v>433.5</v>
          </cell>
          <cell r="C695">
            <v>16653.099999999999</v>
          </cell>
        </row>
        <row r="696">
          <cell r="A696">
            <v>4669.1000000000004</v>
          </cell>
          <cell r="B696">
            <v>434.3</v>
          </cell>
          <cell r="C696">
            <v>16696.5</v>
          </cell>
        </row>
        <row r="697">
          <cell r="A697">
            <v>4669.2</v>
          </cell>
          <cell r="B697">
            <v>435.1</v>
          </cell>
          <cell r="C697">
            <v>16740</v>
          </cell>
        </row>
        <row r="698">
          <cell r="A698">
            <v>4669.3</v>
          </cell>
          <cell r="B698">
            <v>435.9</v>
          </cell>
          <cell r="C698">
            <v>16783.599999999999</v>
          </cell>
        </row>
        <row r="699">
          <cell r="A699">
            <v>4669.3999999999996</v>
          </cell>
          <cell r="B699">
            <v>436.7</v>
          </cell>
          <cell r="C699">
            <v>16827.2</v>
          </cell>
        </row>
        <row r="700">
          <cell r="A700">
            <v>4669.5</v>
          </cell>
          <cell r="B700">
            <v>437.5</v>
          </cell>
          <cell r="C700">
            <v>16870.900000000001</v>
          </cell>
        </row>
        <row r="701">
          <cell r="A701">
            <v>4669.6000000000004</v>
          </cell>
          <cell r="B701">
            <v>438.3</v>
          </cell>
          <cell r="C701">
            <v>16914.7</v>
          </cell>
        </row>
        <row r="702">
          <cell r="A702">
            <v>4669.7</v>
          </cell>
          <cell r="B702">
            <v>439.2</v>
          </cell>
          <cell r="C702">
            <v>16958.599999999999</v>
          </cell>
        </row>
        <row r="703">
          <cell r="A703">
            <v>4669.8</v>
          </cell>
          <cell r="B703">
            <v>440</v>
          </cell>
          <cell r="C703">
            <v>17002.5</v>
          </cell>
        </row>
        <row r="704">
          <cell r="A704">
            <v>4669.8999999999996</v>
          </cell>
          <cell r="B704">
            <v>440.8</v>
          </cell>
          <cell r="C704">
            <v>17046.599999999999</v>
          </cell>
        </row>
        <row r="705">
          <cell r="A705">
            <v>4670</v>
          </cell>
          <cell r="B705">
            <v>441.6</v>
          </cell>
          <cell r="C705">
            <v>17090.7</v>
          </cell>
        </row>
        <row r="706">
          <cell r="A706">
            <v>4670.1000000000004</v>
          </cell>
          <cell r="B706">
            <v>442.5</v>
          </cell>
          <cell r="C706">
            <v>17134.900000000001</v>
          </cell>
        </row>
        <row r="707">
          <cell r="A707">
            <v>4670.2</v>
          </cell>
          <cell r="B707">
            <v>443.5</v>
          </cell>
          <cell r="C707">
            <v>17179.2</v>
          </cell>
        </row>
        <row r="708">
          <cell r="A708">
            <v>4670.3</v>
          </cell>
          <cell r="B708">
            <v>444.4</v>
          </cell>
          <cell r="C708">
            <v>17223.599999999999</v>
          </cell>
        </row>
        <row r="709">
          <cell r="A709">
            <v>4670.3999999999996</v>
          </cell>
          <cell r="B709">
            <v>445.4</v>
          </cell>
          <cell r="C709">
            <v>17268.099999999999</v>
          </cell>
        </row>
        <row r="710">
          <cell r="A710">
            <v>4670.5</v>
          </cell>
          <cell r="B710">
            <v>446.4</v>
          </cell>
          <cell r="C710">
            <v>17312.7</v>
          </cell>
        </row>
        <row r="711">
          <cell r="A711">
            <v>4670.6000000000004</v>
          </cell>
          <cell r="B711">
            <v>447.3</v>
          </cell>
          <cell r="C711">
            <v>17357.3</v>
          </cell>
        </row>
        <row r="712">
          <cell r="A712">
            <v>4670.7</v>
          </cell>
          <cell r="B712">
            <v>448.3</v>
          </cell>
          <cell r="C712">
            <v>17402.099999999999</v>
          </cell>
        </row>
        <row r="713">
          <cell r="A713">
            <v>4670.8</v>
          </cell>
          <cell r="B713">
            <v>449.2</v>
          </cell>
          <cell r="C713">
            <v>17447</v>
          </cell>
        </row>
        <row r="714">
          <cell r="A714">
            <v>4670.8999999999996</v>
          </cell>
          <cell r="B714">
            <v>450.2</v>
          </cell>
          <cell r="C714">
            <v>17492</v>
          </cell>
        </row>
        <row r="715">
          <cell r="A715">
            <v>4671</v>
          </cell>
          <cell r="B715">
            <v>451.1</v>
          </cell>
          <cell r="C715">
            <v>17537</v>
          </cell>
        </row>
        <row r="716">
          <cell r="A716">
            <v>4671.1000000000004</v>
          </cell>
          <cell r="B716">
            <v>451.8</v>
          </cell>
          <cell r="C716">
            <v>17582.2</v>
          </cell>
        </row>
        <row r="717">
          <cell r="A717">
            <v>4671.2</v>
          </cell>
          <cell r="B717">
            <v>452.4</v>
          </cell>
          <cell r="C717">
            <v>17627.400000000001</v>
          </cell>
        </row>
        <row r="718">
          <cell r="A718">
            <v>4671.3</v>
          </cell>
          <cell r="B718">
            <v>453</v>
          </cell>
          <cell r="C718">
            <v>17672.7</v>
          </cell>
        </row>
        <row r="719">
          <cell r="A719">
            <v>4671.3999999999996</v>
          </cell>
          <cell r="B719">
            <v>453.6</v>
          </cell>
          <cell r="C719">
            <v>17718</v>
          </cell>
        </row>
        <row r="720">
          <cell r="A720">
            <v>4671.5</v>
          </cell>
          <cell r="B720">
            <v>454.2</v>
          </cell>
          <cell r="C720">
            <v>17763.400000000001</v>
          </cell>
        </row>
        <row r="721">
          <cell r="A721">
            <v>4671.6000000000004</v>
          </cell>
          <cell r="B721">
            <v>454.9</v>
          </cell>
          <cell r="C721">
            <v>17808.8</v>
          </cell>
        </row>
        <row r="722">
          <cell r="A722">
            <v>4671.7</v>
          </cell>
          <cell r="B722">
            <v>455.5</v>
          </cell>
          <cell r="C722">
            <v>17854.400000000001</v>
          </cell>
        </row>
        <row r="723">
          <cell r="A723">
            <v>4671.8</v>
          </cell>
          <cell r="B723">
            <v>456.1</v>
          </cell>
          <cell r="C723">
            <v>17899.900000000001</v>
          </cell>
        </row>
        <row r="724">
          <cell r="A724">
            <v>4671.8999999999996</v>
          </cell>
          <cell r="B724">
            <v>456.7</v>
          </cell>
          <cell r="C724">
            <v>17945.599999999999</v>
          </cell>
        </row>
        <row r="725">
          <cell r="A725">
            <v>4672</v>
          </cell>
          <cell r="B725">
            <v>457.3</v>
          </cell>
          <cell r="C725">
            <v>17991.3</v>
          </cell>
        </row>
        <row r="726">
          <cell r="A726">
            <v>4672.1000000000004</v>
          </cell>
          <cell r="B726">
            <v>458</v>
          </cell>
          <cell r="C726">
            <v>18037</v>
          </cell>
        </row>
        <row r="727">
          <cell r="A727">
            <v>4672.2</v>
          </cell>
          <cell r="B727">
            <v>458.6</v>
          </cell>
          <cell r="C727">
            <v>18082.900000000001</v>
          </cell>
        </row>
        <row r="728">
          <cell r="A728">
            <v>4672.3</v>
          </cell>
          <cell r="B728">
            <v>459.2</v>
          </cell>
          <cell r="C728">
            <v>18128.8</v>
          </cell>
        </row>
        <row r="729">
          <cell r="A729">
            <v>4672.3999999999996</v>
          </cell>
          <cell r="B729">
            <v>459.8</v>
          </cell>
          <cell r="C729">
            <v>18174.7</v>
          </cell>
        </row>
        <row r="730">
          <cell r="A730">
            <v>4672.5</v>
          </cell>
          <cell r="B730">
            <v>460.4</v>
          </cell>
          <cell r="C730">
            <v>18220.7</v>
          </cell>
        </row>
        <row r="731">
          <cell r="A731">
            <v>4672.6000000000004</v>
          </cell>
          <cell r="B731">
            <v>461.1</v>
          </cell>
          <cell r="C731">
            <v>18266.8</v>
          </cell>
        </row>
        <row r="732">
          <cell r="A732">
            <v>4672.7</v>
          </cell>
          <cell r="B732">
            <v>461.7</v>
          </cell>
          <cell r="C732">
            <v>18312.900000000001</v>
          </cell>
        </row>
        <row r="733">
          <cell r="A733">
            <v>4672.8</v>
          </cell>
          <cell r="B733">
            <v>462.3</v>
          </cell>
          <cell r="C733">
            <v>18359.099999999999</v>
          </cell>
        </row>
        <row r="734">
          <cell r="A734">
            <v>4672.8999999999996</v>
          </cell>
          <cell r="B734">
            <v>462.9</v>
          </cell>
          <cell r="C734">
            <v>18405.400000000001</v>
          </cell>
        </row>
        <row r="735">
          <cell r="A735">
            <v>4673</v>
          </cell>
          <cell r="B735">
            <v>463.5</v>
          </cell>
          <cell r="C735">
            <v>18451.7</v>
          </cell>
        </row>
      </sheetData>
      <sheetData sheetId="10" refreshError="1"/>
      <sheetData sheetId="11" refreshError="1">
        <row r="2">
          <cell r="A2" t="str">
            <v>A</v>
          </cell>
          <cell r="C2">
            <v>0</v>
          </cell>
        </row>
        <row r="3">
          <cell r="A3" t="str">
            <v>B</v>
          </cell>
          <cell r="C3">
            <v>0</v>
          </cell>
        </row>
        <row r="4">
          <cell r="A4" t="str">
            <v>C</v>
          </cell>
          <cell r="C4">
            <v>0</v>
          </cell>
        </row>
        <row r="5">
          <cell r="A5" t="str">
            <v>D</v>
          </cell>
          <cell r="C5">
            <v>0</v>
          </cell>
        </row>
        <row r="6">
          <cell r="A6" t="str">
            <v>E</v>
          </cell>
          <cell r="C6">
            <v>0</v>
          </cell>
        </row>
        <row r="7">
          <cell r="A7" t="str">
            <v>F</v>
          </cell>
          <cell r="C7">
            <v>0</v>
          </cell>
        </row>
        <row r="8">
          <cell r="A8" t="str">
            <v>G</v>
          </cell>
          <cell r="C8">
            <v>0</v>
          </cell>
        </row>
        <row r="9">
          <cell r="A9" t="str">
            <v>H</v>
          </cell>
          <cell r="C9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4">
          <cell r="A4">
            <v>10</v>
          </cell>
          <cell r="B4">
            <v>4600</v>
          </cell>
          <cell r="C4">
            <v>10.3</v>
          </cell>
          <cell r="D4">
            <v>0</v>
          </cell>
          <cell r="E4">
            <v>5236</v>
          </cell>
          <cell r="F4">
            <v>10.3</v>
          </cell>
        </row>
        <row r="5">
          <cell r="A5">
            <v>11.1</v>
          </cell>
          <cell r="B5">
            <v>4600.1000000000004</v>
          </cell>
          <cell r="C5">
            <v>10.8</v>
          </cell>
          <cell r="D5">
            <v>0</v>
          </cell>
          <cell r="E5">
            <v>5237</v>
          </cell>
          <cell r="F5">
            <v>10.8</v>
          </cell>
        </row>
        <row r="6">
          <cell r="A6">
            <v>12.2</v>
          </cell>
          <cell r="B6">
            <v>4600.2000000000007</v>
          </cell>
          <cell r="C6">
            <v>11.3</v>
          </cell>
          <cell r="D6">
            <v>0</v>
          </cell>
          <cell r="E6">
            <v>5238</v>
          </cell>
          <cell r="F6">
            <v>11.3</v>
          </cell>
        </row>
        <row r="7">
          <cell r="A7">
            <v>13.3</v>
          </cell>
          <cell r="B7">
            <v>4600.3000000000011</v>
          </cell>
          <cell r="C7">
            <v>11.9</v>
          </cell>
          <cell r="D7">
            <v>0</v>
          </cell>
          <cell r="E7">
            <v>5239</v>
          </cell>
          <cell r="F7">
            <v>11.9</v>
          </cell>
        </row>
        <row r="8">
          <cell r="A8">
            <v>14.5</v>
          </cell>
          <cell r="B8">
            <v>4600.4000000000015</v>
          </cell>
          <cell r="C8">
            <v>12.4</v>
          </cell>
          <cell r="D8">
            <v>1</v>
          </cell>
          <cell r="E8">
            <v>5240</v>
          </cell>
          <cell r="F8">
            <v>12.4</v>
          </cell>
        </row>
        <row r="9">
          <cell r="A9">
            <v>15.8</v>
          </cell>
          <cell r="B9">
            <v>4600.5000000000018</v>
          </cell>
          <cell r="C9">
            <v>13</v>
          </cell>
          <cell r="D9">
            <v>2</v>
          </cell>
          <cell r="E9">
            <v>5241</v>
          </cell>
          <cell r="F9">
            <v>13</v>
          </cell>
        </row>
        <row r="10">
          <cell r="A10">
            <v>17.100000000000001</v>
          </cell>
          <cell r="B10">
            <v>4600.6000000000022</v>
          </cell>
          <cell r="C10">
            <v>13.5</v>
          </cell>
          <cell r="D10">
            <v>2</v>
          </cell>
          <cell r="E10">
            <v>5242</v>
          </cell>
          <cell r="F10">
            <v>13.5</v>
          </cell>
        </row>
        <row r="11">
          <cell r="A11">
            <v>18.5</v>
          </cell>
          <cell r="B11">
            <v>4600.7000000000025</v>
          </cell>
          <cell r="C11">
            <v>14</v>
          </cell>
          <cell r="D11">
            <v>3</v>
          </cell>
          <cell r="E11">
            <v>5243</v>
          </cell>
          <cell r="F11">
            <v>14</v>
          </cell>
        </row>
        <row r="12">
          <cell r="A12">
            <v>19.899999999999999</v>
          </cell>
          <cell r="B12">
            <v>4600.8000000000029</v>
          </cell>
          <cell r="C12">
            <v>14.6</v>
          </cell>
          <cell r="D12">
            <v>4</v>
          </cell>
          <cell r="E12">
            <v>5244</v>
          </cell>
          <cell r="F12">
            <v>14.6</v>
          </cell>
        </row>
        <row r="13">
          <cell r="A13">
            <v>21.4</v>
          </cell>
          <cell r="B13">
            <v>4600.9000000000033</v>
          </cell>
          <cell r="C13">
            <v>15.1</v>
          </cell>
          <cell r="D13">
            <v>5</v>
          </cell>
          <cell r="E13">
            <v>5245</v>
          </cell>
          <cell r="F13">
            <v>15.1</v>
          </cell>
        </row>
        <row r="14">
          <cell r="A14">
            <v>23</v>
          </cell>
          <cell r="B14">
            <v>4601.0000000000036</v>
          </cell>
          <cell r="C14">
            <v>15.7</v>
          </cell>
          <cell r="D14">
            <v>11</v>
          </cell>
          <cell r="E14">
            <v>5246</v>
          </cell>
          <cell r="F14">
            <v>15.7</v>
          </cell>
        </row>
        <row r="15">
          <cell r="A15">
            <v>24.6</v>
          </cell>
          <cell r="B15">
            <v>4601.100000000004</v>
          </cell>
          <cell r="C15">
            <v>16.899999999999999</v>
          </cell>
          <cell r="D15">
            <v>16</v>
          </cell>
          <cell r="E15">
            <v>5247</v>
          </cell>
          <cell r="F15">
            <v>16.899999999999999</v>
          </cell>
        </row>
        <row r="16">
          <cell r="A16">
            <v>26.4</v>
          </cell>
          <cell r="B16">
            <v>4601.2000000000044</v>
          </cell>
          <cell r="C16">
            <v>18.2</v>
          </cell>
          <cell r="D16">
            <v>22</v>
          </cell>
          <cell r="E16">
            <v>5248</v>
          </cell>
          <cell r="F16">
            <v>18.2</v>
          </cell>
        </row>
        <row r="17">
          <cell r="A17">
            <v>28.2</v>
          </cell>
          <cell r="B17">
            <v>4601.3000000000047</v>
          </cell>
          <cell r="C17">
            <v>19.399999999999999</v>
          </cell>
          <cell r="D17">
            <v>28</v>
          </cell>
          <cell r="E17">
            <v>5249</v>
          </cell>
          <cell r="F17">
            <v>19.399999999999999</v>
          </cell>
        </row>
        <row r="18">
          <cell r="A18">
            <v>30.2</v>
          </cell>
          <cell r="B18">
            <v>4601.3999999999996</v>
          </cell>
          <cell r="C18">
            <v>20.7</v>
          </cell>
          <cell r="D18">
            <v>34</v>
          </cell>
          <cell r="E18">
            <v>5250</v>
          </cell>
          <cell r="F18">
            <v>20.7</v>
          </cell>
        </row>
        <row r="19">
          <cell r="A19">
            <v>32.4</v>
          </cell>
          <cell r="B19">
            <v>4601.5</v>
          </cell>
          <cell r="C19">
            <v>21.9</v>
          </cell>
          <cell r="D19">
            <v>48</v>
          </cell>
          <cell r="E19">
            <v>5251</v>
          </cell>
          <cell r="F19">
            <v>21.9</v>
          </cell>
        </row>
        <row r="20">
          <cell r="A20">
            <v>34.6</v>
          </cell>
          <cell r="B20">
            <v>4601.6000000000004</v>
          </cell>
          <cell r="C20">
            <v>23.2</v>
          </cell>
          <cell r="D20">
            <v>62</v>
          </cell>
          <cell r="E20">
            <v>5252</v>
          </cell>
          <cell r="F20">
            <v>23.2</v>
          </cell>
        </row>
        <row r="21">
          <cell r="A21">
            <v>37</v>
          </cell>
          <cell r="B21">
            <v>4601.7</v>
          </cell>
          <cell r="C21">
            <v>24.5</v>
          </cell>
          <cell r="D21">
            <v>76</v>
          </cell>
          <cell r="E21">
            <v>5253</v>
          </cell>
          <cell r="F21">
            <v>24.5</v>
          </cell>
        </row>
        <row r="22">
          <cell r="A22">
            <v>39.5</v>
          </cell>
          <cell r="B22">
            <v>4601.8</v>
          </cell>
          <cell r="C22">
            <v>25.7</v>
          </cell>
          <cell r="D22">
            <v>90</v>
          </cell>
          <cell r="E22">
            <v>5254</v>
          </cell>
          <cell r="F22">
            <v>25.7</v>
          </cell>
        </row>
        <row r="23">
          <cell r="A23">
            <v>42.2</v>
          </cell>
          <cell r="B23">
            <v>4601.8999999999996</v>
          </cell>
          <cell r="C23">
            <v>27</v>
          </cell>
          <cell r="D23">
            <v>104</v>
          </cell>
          <cell r="E23">
            <v>5255</v>
          </cell>
          <cell r="F23">
            <v>27</v>
          </cell>
        </row>
        <row r="24">
          <cell r="A24">
            <v>44.9</v>
          </cell>
          <cell r="B24">
            <v>4602</v>
          </cell>
          <cell r="C24">
            <v>28.2</v>
          </cell>
          <cell r="D24">
            <v>122</v>
          </cell>
          <cell r="E24">
            <v>5256</v>
          </cell>
          <cell r="F24">
            <v>28.2</v>
          </cell>
        </row>
        <row r="25">
          <cell r="A25">
            <v>47.8</v>
          </cell>
          <cell r="B25">
            <v>4602.1000000000004</v>
          </cell>
          <cell r="C25">
            <v>28.8</v>
          </cell>
          <cell r="D25">
            <v>140</v>
          </cell>
          <cell r="E25">
            <v>5257</v>
          </cell>
          <cell r="F25">
            <v>28.8</v>
          </cell>
        </row>
        <row r="26">
          <cell r="A26">
            <v>50.7</v>
          </cell>
          <cell r="B26">
            <v>4602.2</v>
          </cell>
          <cell r="C26">
            <v>29.4</v>
          </cell>
          <cell r="D26">
            <v>158</v>
          </cell>
          <cell r="E26">
            <v>5258</v>
          </cell>
          <cell r="F26">
            <v>29.4</v>
          </cell>
        </row>
        <row r="27">
          <cell r="A27">
            <v>53.6</v>
          </cell>
          <cell r="B27">
            <v>4602.3</v>
          </cell>
          <cell r="C27">
            <v>29.9</v>
          </cell>
          <cell r="D27">
            <v>177</v>
          </cell>
          <cell r="E27">
            <v>5259</v>
          </cell>
          <cell r="F27">
            <v>29.9</v>
          </cell>
        </row>
        <row r="28">
          <cell r="A28">
            <v>56.7</v>
          </cell>
          <cell r="B28">
            <v>4602.3999999999996</v>
          </cell>
          <cell r="C28">
            <v>30.5</v>
          </cell>
          <cell r="D28">
            <v>195</v>
          </cell>
          <cell r="E28">
            <v>5260</v>
          </cell>
          <cell r="F28">
            <v>30.5</v>
          </cell>
        </row>
        <row r="29">
          <cell r="A29">
            <v>59.7</v>
          </cell>
          <cell r="B29">
            <v>4602.5</v>
          </cell>
          <cell r="C29">
            <v>31.1</v>
          </cell>
          <cell r="D29">
            <v>218</v>
          </cell>
          <cell r="E29">
            <v>5261</v>
          </cell>
          <cell r="F29">
            <v>31.1</v>
          </cell>
        </row>
        <row r="30">
          <cell r="A30">
            <v>62.9</v>
          </cell>
          <cell r="B30">
            <v>4602.6000000000004</v>
          </cell>
          <cell r="C30">
            <v>31.7</v>
          </cell>
          <cell r="D30">
            <v>241</v>
          </cell>
          <cell r="E30">
            <v>5262</v>
          </cell>
          <cell r="F30">
            <v>31.7</v>
          </cell>
        </row>
        <row r="31">
          <cell r="A31">
            <v>66.099999999999994</v>
          </cell>
          <cell r="B31">
            <v>4602.7</v>
          </cell>
          <cell r="C31">
            <v>32.299999999999997</v>
          </cell>
          <cell r="D31">
            <v>263</v>
          </cell>
          <cell r="E31">
            <v>5263</v>
          </cell>
          <cell r="F31">
            <v>32.299999999999997</v>
          </cell>
        </row>
        <row r="32">
          <cell r="A32">
            <v>69.3</v>
          </cell>
          <cell r="B32">
            <v>4602.8</v>
          </cell>
          <cell r="C32">
            <v>32.799999999999997</v>
          </cell>
          <cell r="D32">
            <v>286</v>
          </cell>
          <cell r="E32">
            <v>5264</v>
          </cell>
          <cell r="F32">
            <v>32.799999999999997</v>
          </cell>
        </row>
        <row r="33">
          <cell r="A33">
            <v>72.599999999999994</v>
          </cell>
          <cell r="B33">
            <v>4602.8999999999996</v>
          </cell>
          <cell r="C33">
            <v>33.4</v>
          </cell>
          <cell r="D33">
            <v>308</v>
          </cell>
          <cell r="E33">
            <v>5265</v>
          </cell>
          <cell r="F33">
            <v>33.4</v>
          </cell>
        </row>
        <row r="34">
          <cell r="A34">
            <v>76</v>
          </cell>
          <cell r="B34">
            <v>4603</v>
          </cell>
          <cell r="C34">
            <v>34</v>
          </cell>
          <cell r="D34">
            <v>336</v>
          </cell>
          <cell r="E34">
            <v>5266</v>
          </cell>
          <cell r="F34">
            <v>34</v>
          </cell>
        </row>
        <row r="35">
          <cell r="A35">
            <v>79.5</v>
          </cell>
          <cell r="B35">
            <v>4603.1000000000004</v>
          </cell>
          <cell r="C35">
            <v>35.6</v>
          </cell>
          <cell r="D35">
            <v>364</v>
          </cell>
          <cell r="E35">
            <v>5267</v>
          </cell>
          <cell r="F35">
            <v>35.6</v>
          </cell>
        </row>
        <row r="36">
          <cell r="A36">
            <v>83.1</v>
          </cell>
          <cell r="B36">
            <v>4603.2</v>
          </cell>
          <cell r="C36">
            <v>37.1</v>
          </cell>
          <cell r="D36">
            <v>393</v>
          </cell>
          <cell r="E36">
            <v>5268</v>
          </cell>
          <cell r="F36">
            <v>37.1</v>
          </cell>
        </row>
        <row r="37">
          <cell r="A37">
            <v>86.9</v>
          </cell>
          <cell r="B37">
            <v>4603.3</v>
          </cell>
          <cell r="C37">
            <v>38.700000000000003</v>
          </cell>
          <cell r="D37">
            <v>421</v>
          </cell>
          <cell r="E37">
            <v>5269</v>
          </cell>
          <cell r="F37">
            <v>38.700000000000003</v>
          </cell>
        </row>
        <row r="38">
          <cell r="A38">
            <v>90.9</v>
          </cell>
          <cell r="B38">
            <v>4603.3999999999996</v>
          </cell>
          <cell r="C38">
            <v>40.299999999999997</v>
          </cell>
          <cell r="D38">
            <v>450</v>
          </cell>
          <cell r="E38">
            <v>5270</v>
          </cell>
          <cell r="F38">
            <v>40.299999999999997</v>
          </cell>
        </row>
        <row r="39">
          <cell r="A39">
            <v>95</v>
          </cell>
          <cell r="B39">
            <v>4603.5</v>
          </cell>
          <cell r="C39">
            <v>41.8</v>
          </cell>
          <cell r="D39">
            <v>487</v>
          </cell>
          <cell r="E39">
            <v>5271</v>
          </cell>
          <cell r="F39">
            <v>41.8</v>
          </cell>
        </row>
        <row r="40">
          <cell r="A40">
            <v>99.2</v>
          </cell>
          <cell r="B40">
            <v>4603.6000000000004</v>
          </cell>
          <cell r="C40">
            <v>43.4</v>
          </cell>
          <cell r="D40">
            <v>523</v>
          </cell>
          <cell r="E40">
            <v>5272</v>
          </cell>
          <cell r="F40">
            <v>43.4</v>
          </cell>
        </row>
        <row r="41">
          <cell r="A41">
            <v>103.6</v>
          </cell>
          <cell r="B41">
            <v>4603.7</v>
          </cell>
          <cell r="C41">
            <v>45</v>
          </cell>
          <cell r="D41">
            <v>559</v>
          </cell>
          <cell r="E41">
            <v>5273</v>
          </cell>
          <cell r="F41">
            <v>45</v>
          </cell>
        </row>
        <row r="42">
          <cell r="A42">
            <v>108.2</v>
          </cell>
          <cell r="B42">
            <v>4603.8</v>
          </cell>
          <cell r="C42">
            <v>46.5</v>
          </cell>
          <cell r="D42">
            <v>595</v>
          </cell>
          <cell r="E42">
            <v>5274</v>
          </cell>
          <cell r="F42">
            <v>46.5</v>
          </cell>
        </row>
        <row r="43">
          <cell r="A43">
            <v>113</v>
          </cell>
          <cell r="B43">
            <v>4603.8999999999996</v>
          </cell>
          <cell r="C43">
            <v>48.1</v>
          </cell>
          <cell r="D43">
            <v>631</v>
          </cell>
          <cell r="E43">
            <v>5275</v>
          </cell>
          <cell r="F43">
            <v>48.1</v>
          </cell>
        </row>
        <row r="44">
          <cell r="A44">
            <v>117.8</v>
          </cell>
          <cell r="B44">
            <v>4604</v>
          </cell>
          <cell r="C44">
            <v>49.7</v>
          </cell>
          <cell r="D44">
            <v>674</v>
          </cell>
          <cell r="E44">
            <v>5276</v>
          </cell>
          <cell r="F44">
            <v>49.7</v>
          </cell>
        </row>
        <row r="45">
          <cell r="A45">
            <v>122.8</v>
          </cell>
          <cell r="B45">
            <v>4604.1000000000004</v>
          </cell>
          <cell r="C45">
            <v>50.1</v>
          </cell>
          <cell r="D45">
            <v>718</v>
          </cell>
          <cell r="E45">
            <v>5277</v>
          </cell>
          <cell r="F45">
            <v>50.1</v>
          </cell>
        </row>
        <row r="46">
          <cell r="A46">
            <v>127.9</v>
          </cell>
          <cell r="B46">
            <v>4604.2</v>
          </cell>
          <cell r="C46">
            <v>50.5</v>
          </cell>
          <cell r="D46">
            <v>761</v>
          </cell>
          <cell r="E46">
            <v>5278</v>
          </cell>
          <cell r="F46">
            <v>50.5</v>
          </cell>
        </row>
        <row r="47">
          <cell r="A47">
            <v>132.9</v>
          </cell>
          <cell r="B47">
            <v>4604.3</v>
          </cell>
          <cell r="C47">
            <v>50.9</v>
          </cell>
          <cell r="D47">
            <v>805</v>
          </cell>
          <cell r="E47">
            <v>5279</v>
          </cell>
          <cell r="F47">
            <v>50.9</v>
          </cell>
        </row>
        <row r="48">
          <cell r="A48">
            <v>138</v>
          </cell>
          <cell r="B48">
            <v>4604.3999999999996</v>
          </cell>
          <cell r="C48">
            <v>51.3</v>
          </cell>
          <cell r="D48">
            <v>849</v>
          </cell>
          <cell r="E48">
            <v>5280</v>
          </cell>
          <cell r="F48">
            <v>51.3</v>
          </cell>
        </row>
        <row r="49">
          <cell r="A49">
            <v>143.19999999999999</v>
          </cell>
          <cell r="B49">
            <v>4604.5</v>
          </cell>
          <cell r="C49">
            <v>51.8</v>
          </cell>
          <cell r="D49">
            <v>902</v>
          </cell>
          <cell r="E49">
            <v>5281</v>
          </cell>
          <cell r="F49">
            <v>51.8</v>
          </cell>
        </row>
        <row r="50">
          <cell r="A50">
            <v>148.4</v>
          </cell>
          <cell r="B50">
            <v>4604.6000000000004</v>
          </cell>
          <cell r="C50">
            <v>52.2</v>
          </cell>
          <cell r="D50">
            <v>955</v>
          </cell>
          <cell r="E50">
            <v>5282</v>
          </cell>
          <cell r="F50">
            <v>52.2</v>
          </cell>
        </row>
        <row r="51">
          <cell r="A51">
            <v>153.6</v>
          </cell>
          <cell r="B51">
            <v>4604.7</v>
          </cell>
          <cell r="C51">
            <v>52.6</v>
          </cell>
          <cell r="D51">
            <v>1008</v>
          </cell>
          <cell r="E51">
            <v>5283</v>
          </cell>
          <cell r="F51">
            <v>52.6</v>
          </cell>
        </row>
        <row r="52">
          <cell r="A52">
            <v>158.9</v>
          </cell>
          <cell r="B52">
            <v>4604.8</v>
          </cell>
          <cell r="C52">
            <v>53</v>
          </cell>
          <cell r="D52">
            <v>1061</v>
          </cell>
          <cell r="E52">
            <v>5284</v>
          </cell>
          <cell r="F52">
            <v>53</v>
          </cell>
        </row>
        <row r="53">
          <cell r="A53">
            <v>164.2</v>
          </cell>
          <cell r="B53">
            <v>4604.8999999999996</v>
          </cell>
          <cell r="C53">
            <v>53.4</v>
          </cell>
          <cell r="D53">
            <v>1114</v>
          </cell>
          <cell r="E53">
            <v>5285</v>
          </cell>
          <cell r="F53">
            <v>53.4</v>
          </cell>
        </row>
        <row r="54">
          <cell r="A54">
            <v>169.6</v>
          </cell>
          <cell r="B54">
            <v>4605</v>
          </cell>
          <cell r="C54">
            <v>53.9</v>
          </cell>
          <cell r="D54">
            <v>1174</v>
          </cell>
          <cell r="E54">
            <v>5286</v>
          </cell>
          <cell r="F54">
            <v>53.9</v>
          </cell>
        </row>
        <row r="55">
          <cell r="A55">
            <v>175</v>
          </cell>
          <cell r="B55">
            <v>4605.1000000000004</v>
          </cell>
          <cell r="C55">
            <v>54.7</v>
          </cell>
          <cell r="D55">
            <v>1234</v>
          </cell>
          <cell r="E55">
            <v>5287</v>
          </cell>
          <cell r="F55">
            <v>54.7</v>
          </cell>
        </row>
        <row r="56">
          <cell r="A56">
            <v>180.5</v>
          </cell>
          <cell r="B56">
            <v>4605.2</v>
          </cell>
          <cell r="C56">
            <v>55.6</v>
          </cell>
          <cell r="D56">
            <v>1294</v>
          </cell>
          <cell r="E56">
            <v>5288</v>
          </cell>
          <cell r="F56">
            <v>55.6</v>
          </cell>
        </row>
        <row r="57">
          <cell r="A57">
            <v>186.1</v>
          </cell>
          <cell r="B57">
            <v>4605.3</v>
          </cell>
          <cell r="C57">
            <v>56.4</v>
          </cell>
          <cell r="D57">
            <v>1354</v>
          </cell>
          <cell r="E57">
            <v>5289</v>
          </cell>
          <cell r="F57">
            <v>56.4</v>
          </cell>
        </row>
        <row r="58">
          <cell r="A58">
            <v>191.8</v>
          </cell>
          <cell r="B58">
            <v>4605.3999999999996</v>
          </cell>
          <cell r="C58">
            <v>57.3</v>
          </cell>
          <cell r="D58">
            <v>1413</v>
          </cell>
          <cell r="E58">
            <v>5290</v>
          </cell>
          <cell r="F58">
            <v>57.3</v>
          </cell>
        </row>
        <row r="59">
          <cell r="A59">
            <v>197.6</v>
          </cell>
          <cell r="B59">
            <v>4605.5</v>
          </cell>
          <cell r="C59">
            <v>58.1</v>
          </cell>
          <cell r="D59">
            <v>1479</v>
          </cell>
          <cell r="E59">
            <v>5291</v>
          </cell>
          <cell r="F59">
            <v>58.1</v>
          </cell>
        </row>
        <row r="60">
          <cell r="A60">
            <v>203.5</v>
          </cell>
          <cell r="B60">
            <v>4605.6000000000004</v>
          </cell>
          <cell r="C60">
            <v>59</v>
          </cell>
          <cell r="D60">
            <v>1546</v>
          </cell>
          <cell r="E60">
            <v>5292</v>
          </cell>
          <cell r="F60">
            <v>59</v>
          </cell>
        </row>
        <row r="61">
          <cell r="A61">
            <v>209.4</v>
          </cell>
          <cell r="B61">
            <v>4605.7</v>
          </cell>
          <cell r="C61">
            <v>59.8</v>
          </cell>
          <cell r="D61">
            <v>1613</v>
          </cell>
          <cell r="E61">
            <v>5293</v>
          </cell>
          <cell r="F61">
            <v>59.8</v>
          </cell>
        </row>
        <row r="62">
          <cell r="A62">
            <v>215.4</v>
          </cell>
          <cell r="B62">
            <v>4605.8</v>
          </cell>
          <cell r="C62">
            <v>60.7</v>
          </cell>
          <cell r="D62">
            <v>1680</v>
          </cell>
          <cell r="E62">
            <v>5294</v>
          </cell>
          <cell r="F62">
            <v>60.7</v>
          </cell>
        </row>
        <row r="63">
          <cell r="A63">
            <v>221.5</v>
          </cell>
          <cell r="B63">
            <v>4605.8999999999996</v>
          </cell>
          <cell r="C63">
            <v>61.5</v>
          </cell>
          <cell r="D63">
            <v>1747</v>
          </cell>
          <cell r="E63">
            <v>5295</v>
          </cell>
          <cell r="F63">
            <v>61.5</v>
          </cell>
        </row>
        <row r="64">
          <cell r="A64">
            <v>227.7</v>
          </cell>
          <cell r="B64">
            <v>4606</v>
          </cell>
          <cell r="C64">
            <v>62.4</v>
          </cell>
          <cell r="D64">
            <v>1821</v>
          </cell>
          <cell r="E64">
            <v>5296</v>
          </cell>
          <cell r="F64">
            <v>62.4</v>
          </cell>
        </row>
        <row r="65">
          <cell r="A65">
            <v>234</v>
          </cell>
          <cell r="B65">
            <v>4606.1000000000004</v>
          </cell>
          <cell r="C65">
            <v>62.8</v>
          </cell>
          <cell r="D65">
            <v>1894</v>
          </cell>
          <cell r="E65">
            <v>5297</v>
          </cell>
          <cell r="F65">
            <v>62.8</v>
          </cell>
        </row>
        <row r="66">
          <cell r="A66">
            <v>240.3</v>
          </cell>
          <cell r="B66">
            <v>4606.2</v>
          </cell>
          <cell r="C66">
            <v>63.1</v>
          </cell>
          <cell r="D66">
            <v>1967</v>
          </cell>
          <cell r="E66">
            <v>5298</v>
          </cell>
          <cell r="F66">
            <v>63.1</v>
          </cell>
        </row>
        <row r="67">
          <cell r="A67">
            <v>246.6</v>
          </cell>
          <cell r="B67">
            <v>4606.3</v>
          </cell>
          <cell r="C67">
            <v>63.5</v>
          </cell>
          <cell r="D67">
            <v>2041</v>
          </cell>
          <cell r="E67">
            <v>5299</v>
          </cell>
          <cell r="F67">
            <v>63.5</v>
          </cell>
        </row>
        <row r="68">
          <cell r="A68">
            <v>253</v>
          </cell>
          <cell r="B68">
            <v>4606.3999999999996</v>
          </cell>
          <cell r="C68">
            <v>63.9</v>
          </cell>
          <cell r="D68">
            <v>2114</v>
          </cell>
          <cell r="E68">
            <v>5300</v>
          </cell>
          <cell r="F68">
            <v>63.9</v>
          </cell>
        </row>
        <row r="69">
          <cell r="A69">
            <v>259.39999999999998</v>
          </cell>
          <cell r="B69">
            <v>4606.5</v>
          </cell>
          <cell r="C69">
            <v>64.3</v>
          </cell>
          <cell r="D69">
            <v>2194</v>
          </cell>
          <cell r="E69">
            <v>5301</v>
          </cell>
          <cell r="F69">
            <v>64.3</v>
          </cell>
        </row>
        <row r="70">
          <cell r="A70">
            <v>265.8</v>
          </cell>
          <cell r="B70">
            <v>4606.6000000000004</v>
          </cell>
          <cell r="C70">
            <v>64.7</v>
          </cell>
          <cell r="D70">
            <v>2275</v>
          </cell>
          <cell r="E70">
            <v>5302</v>
          </cell>
          <cell r="F70">
            <v>64.7</v>
          </cell>
        </row>
        <row r="71">
          <cell r="A71">
            <v>272.3</v>
          </cell>
          <cell r="B71">
            <v>4606.7</v>
          </cell>
          <cell r="C71">
            <v>65.099999999999994</v>
          </cell>
          <cell r="D71">
            <v>2355</v>
          </cell>
          <cell r="E71">
            <v>5303</v>
          </cell>
          <cell r="F71">
            <v>65.099999999999994</v>
          </cell>
        </row>
        <row r="72">
          <cell r="A72">
            <v>278.89999999999998</v>
          </cell>
          <cell r="B72">
            <v>4606.8</v>
          </cell>
          <cell r="C72">
            <v>65.400000000000006</v>
          </cell>
          <cell r="D72">
            <v>2436</v>
          </cell>
          <cell r="E72">
            <v>5304</v>
          </cell>
          <cell r="F72">
            <v>65.400000000000006</v>
          </cell>
        </row>
        <row r="73">
          <cell r="A73">
            <v>285.39999999999998</v>
          </cell>
          <cell r="B73">
            <v>4606.8999999999996</v>
          </cell>
          <cell r="C73">
            <v>65.8</v>
          </cell>
          <cell r="D73">
            <v>2516</v>
          </cell>
          <cell r="E73">
            <v>5305</v>
          </cell>
          <cell r="F73">
            <v>65.8</v>
          </cell>
        </row>
        <row r="74">
          <cell r="A74">
            <v>292</v>
          </cell>
          <cell r="B74">
            <v>4607</v>
          </cell>
          <cell r="C74">
            <v>66.2</v>
          </cell>
          <cell r="D74">
            <v>2605</v>
          </cell>
          <cell r="E74">
            <v>5306</v>
          </cell>
          <cell r="F74">
            <v>66.2</v>
          </cell>
        </row>
        <row r="75">
          <cell r="A75">
            <v>298.7</v>
          </cell>
          <cell r="B75">
            <v>4607.1000000000004</v>
          </cell>
          <cell r="C75">
            <v>67.400000000000006</v>
          </cell>
          <cell r="D75">
            <v>2694</v>
          </cell>
          <cell r="E75">
            <v>5307</v>
          </cell>
          <cell r="F75">
            <v>67.400000000000006</v>
          </cell>
        </row>
        <row r="76">
          <cell r="A76">
            <v>305.5</v>
          </cell>
          <cell r="B76">
            <v>4607.2</v>
          </cell>
          <cell r="C76">
            <v>68.5</v>
          </cell>
          <cell r="D76">
            <v>2784</v>
          </cell>
          <cell r="E76">
            <v>5308</v>
          </cell>
          <cell r="F76">
            <v>68.5</v>
          </cell>
        </row>
        <row r="77">
          <cell r="A77">
            <v>312.39999999999998</v>
          </cell>
          <cell r="B77">
            <v>4607.3</v>
          </cell>
          <cell r="C77">
            <v>69.7</v>
          </cell>
          <cell r="D77">
            <v>2873</v>
          </cell>
          <cell r="E77">
            <v>5309</v>
          </cell>
          <cell r="F77">
            <v>69.7</v>
          </cell>
        </row>
        <row r="78">
          <cell r="A78">
            <v>319.39999999999998</v>
          </cell>
          <cell r="B78">
            <v>4607.3999999999996</v>
          </cell>
          <cell r="C78">
            <v>70.900000000000006</v>
          </cell>
          <cell r="D78">
            <v>2962</v>
          </cell>
          <cell r="E78">
            <v>5310</v>
          </cell>
          <cell r="F78">
            <v>70.900000000000006</v>
          </cell>
        </row>
        <row r="79">
          <cell r="A79">
            <v>326.60000000000002</v>
          </cell>
          <cell r="B79">
            <v>4607.5</v>
          </cell>
          <cell r="C79">
            <v>72</v>
          </cell>
          <cell r="D79">
            <v>3058</v>
          </cell>
          <cell r="E79">
            <v>5311</v>
          </cell>
          <cell r="F79">
            <v>72</v>
          </cell>
        </row>
        <row r="80">
          <cell r="A80">
            <v>333.8</v>
          </cell>
          <cell r="B80">
            <v>4607.6000000000004</v>
          </cell>
          <cell r="C80">
            <v>73.2</v>
          </cell>
          <cell r="D80">
            <v>3154</v>
          </cell>
          <cell r="E80">
            <v>5312</v>
          </cell>
          <cell r="F80">
            <v>73.2</v>
          </cell>
        </row>
        <row r="81">
          <cell r="A81">
            <v>341.2</v>
          </cell>
          <cell r="B81">
            <v>4607.7</v>
          </cell>
          <cell r="C81">
            <v>74.3</v>
          </cell>
          <cell r="D81">
            <v>3250</v>
          </cell>
          <cell r="E81">
            <v>5313</v>
          </cell>
          <cell r="F81">
            <v>74.3</v>
          </cell>
        </row>
        <row r="82">
          <cell r="A82">
            <v>348.7</v>
          </cell>
          <cell r="B82">
            <v>4607.8</v>
          </cell>
          <cell r="C82">
            <v>75.5</v>
          </cell>
          <cell r="D82">
            <v>3346</v>
          </cell>
          <cell r="E82">
            <v>5314</v>
          </cell>
          <cell r="F82">
            <v>75.5</v>
          </cell>
        </row>
        <row r="83">
          <cell r="A83">
            <v>356.3</v>
          </cell>
          <cell r="B83">
            <v>4607.8999999999996</v>
          </cell>
          <cell r="C83">
            <v>76.7</v>
          </cell>
          <cell r="D83">
            <v>3442</v>
          </cell>
          <cell r="E83">
            <v>5315</v>
          </cell>
          <cell r="F83">
            <v>76.7</v>
          </cell>
        </row>
        <row r="84">
          <cell r="A84">
            <v>364</v>
          </cell>
          <cell r="B84">
            <v>4608</v>
          </cell>
          <cell r="C84">
            <v>77.8</v>
          </cell>
          <cell r="D84">
            <v>3546</v>
          </cell>
          <cell r="E84">
            <v>5316</v>
          </cell>
          <cell r="F84">
            <v>77.8</v>
          </cell>
        </row>
        <row r="85">
          <cell r="A85">
            <v>371.8</v>
          </cell>
          <cell r="B85">
            <v>4608.1000000000004</v>
          </cell>
          <cell r="C85">
            <v>78.2</v>
          </cell>
          <cell r="D85">
            <v>3649</v>
          </cell>
          <cell r="E85">
            <v>5317</v>
          </cell>
          <cell r="F85">
            <v>78.2</v>
          </cell>
        </row>
        <row r="86">
          <cell r="A86">
            <v>379.7</v>
          </cell>
          <cell r="B86">
            <v>4608.2</v>
          </cell>
          <cell r="C86">
            <v>78.599999999999994</v>
          </cell>
          <cell r="D86">
            <v>3752</v>
          </cell>
          <cell r="E86">
            <v>5318</v>
          </cell>
          <cell r="F86">
            <v>78.599999999999994</v>
          </cell>
        </row>
        <row r="87">
          <cell r="A87">
            <v>387.5</v>
          </cell>
          <cell r="B87">
            <v>4608.3</v>
          </cell>
          <cell r="C87">
            <v>78.900000000000006</v>
          </cell>
          <cell r="D87">
            <v>3856</v>
          </cell>
          <cell r="E87">
            <v>5319</v>
          </cell>
          <cell r="F87">
            <v>78.900000000000006</v>
          </cell>
        </row>
        <row r="88">
          <cell r="A88">
            <v>395.5</v>
          </cell>
          <cell r="B88">
            <v>4608.3999999999996</v>
          </cell>
          <cell r="C88">
            <v>79.3</v>
          </cell>
          <cell r="D88">
            <v>3959</v>
          </cell>
          <cell r="E88">
            <v>5320</v>
          </cell>
          <cell r="F88">
            <v>79.3</v>
          </cell>
        </row>
        <row r="89">
          <cell r="A89">
            <v>403.4</v>
          </cell>
          <cell r="B89">
            <v>4608.5</v>
          </cell>
          <cell r="C89">
            <v>79.7</v>
          </cell>
          <cell r="D89">
            <v>4069</v>
          </cell>
          <cell r="E89">
            <v>5321</v>
          </cell>
          <cell r="F89">
            <v>79.7</v>
          </cell>
        </row>
        <row r="90">
          <cell r="A90">
            <v>411.4</v>
          </cell>
          <cell r="B90">
            <v>4608.6000000000004</v>
          </cell>
          <cell r="C90">
            <v>80</v>
          </cell>
          <cell r="D90">
            <v>4178</v>
          </cell>
          <cell r="E90">
            <v>5322</v>
          </cell>
          <cell r="F90">
            <v>80</v>
          </cell>
        </row>
        <row r="91">
          <cell r="A91">
            <v>419.4</v>
          </cell>
          <cell r="B91">
            <v>4608.7</v>
          </cell>
          <cell r="C91">
            <v>80.400000000000006</v>
          </cell>
          <cell r="D91">
            <v>4288</v>
          </cell>
          <cell r="E91">
            <v>5323</v>
          </cell>
          <cell r="F91">
            <v>80.400000000000006</v>
          </cell>
        </row>
        <row r="92">
          <cell r="A92">
            <v>427.5</v>
          </cell>
          <cell r="B92">
            <v>4608.8</v>
          </cell>
          <cell r="C92">
            <v>80.7</v>
          </cell>
          <cell r="D92">
            <v>4398</v>
          </cell>
          <cell r="E92">
            <v>5324</v>
          </cell>
          <cell r="F92">
            <v>80.7</v>
          </cell>
        </row>
        <row r="93">
          <cell r="A93">
            <v>435.6</v>
          </cell>
          <cell r="B93">
            <v>4608.8999999999996</v>
          </cell>
          <cell r="C93">
            <v>81.099999999999994</v>
          </cell>
          <cell r="D93">
            <v>4508</v>
          </cell>
          <cell r="E93">
            <v>5325</v>
          </cell>
          <cell r="F93">
            <v>81.099999999999994</v>
          </cell>
        </row>
        <row r="94">
          <cell r="A94">
            <v>443.7</v>
          </cell>
          <cell r="B94">
            <v>4609</v>
          </cell>
          <cell r="C94">
            <v>81.5</v>
          </cell>
          <cell r="D94">
            <v>4625</v>
          </cell>
          <cell r="E94">
            <v>5326</v>
          </cell>
          <cell r="F94">
            <v>81.5</v>
          </cell>
        </row>
        <row r="95">
          <cell r="A95">
            <v>451.9</v>
          </cell>
          <cell r="B95">
            <v>4609.1000000000004</v>
          </cell>
          <cell r="C95">
            <v>82.4</v>
          </cell>
          <cell r="D95">
            <v>4742</v>
          </cell>
          <cell r="E95">
            <v>5327</v>
          </cell>
          <cell r="F95">
            <v>82.4</v>
          </cell>
        </row>
        <row r="96">
          <cell r="A96">
            <v>460.2</v>
          </cell>
          <cell r="B96">
            <v>4609.2</v>
          </cell>
          <cell r="C96">
            <v>83.4</v>
          </cell>
          <cell r="D96">
            <v>4858</v>
          </cell>
          <cell r="E96">
            <v>5328</v>
          </cell>
          <cell r="F96">
            <v>83.4</v>
          </cell>
        </row>
        <row r="97">
          <cell r="A97">
            <v>468.6</v>
          </cell>
          <cell r="B97">
            <v>4609.3</v>
          </cell>
          <cell r="C97">
            <v>84.3</v>
          </cell>
          <cell r="D97">
            <v>4975</v>
          </cell>
          <cell r="E97">
            <v>5329</v>
          </cell>
          <cell r="F97">
            <v>84.3</v>
          </cell>
        </row>
        <row r="98">
          <cell r="A98">
            <v>477</v>
          </cell>
          <cell r="B98">
            <v>4609.3999999999996</v>
          </cell>
          <cell r="C98">
            <v>85.3</v>
          </cell>
          <cell r="D98">
            <v>5091</v>
          </cell>
          <cell r="E98">
            <v>5330</v>
          </cell>
          <cell r="F98">
            <v>85.3</v>
          </cell>
        </row>
        <row r="99">
          <cell r="A99">
            <v>485.6</v>
          </cell>
          <cell r="B99">
            <v>4609.5</v>
          </cell>
          <cell r="C99">
            <v>86.2</v>
          </cell>
          <cell r="D99">
            <v>5214</v>
          </cell>
          <cell r="E99">
            <v>5331</v>
          </cell>
          <cell r="F99">
            <v>86.2</v>
          </cell>
        </row>
        <row r="100">
          <cell r="A100">
            <v>494.3</v>
          </cell>
          <cell r="B100">
            <v>4609.6000000000004</v>
          </cell>
          <cell r="C100">
            <v>87.2</v>
          </cell>
          <cell r="D100">
            <v>5337</v>
          </cell>
          <cell r="E100">
            <v>5332</v>
          </cell>
          <cell r="F100">
            <v>87.2</v>
          </cell>
        </row>
        <row r="101">
          <cell r="A101">
            <v>503</v>
          </cell>
          <cell r="B101">
            <v>4609.7</v>
          </cell>
          <cell r="C101">
            <v>88.1</v>
          </cell>
          <cell r="D101">
            <v>5460</v>
          </cell>
          <cell r="E101">
            <v>5333</v>
          </cell>
          <cell r="F101">
            <v>88.1</v>
          </cell>
        </row>
        <row r="102">
          <cell r="A102">
            <v>511.9</v>
          </cell>
          <cell r="B102">
            <v>4609.8</v>
          </cell>
          <cell r="C102">
            <v>89.1</v>
          </cell>
          <cell r="D102">
            <v>5583</v>
          </cell>
          <cell r="E102">
            <v>5334</v>
          </cell>
          <cell r="F102">
            <v>89.1</v>
          </cell>
        </row>
        <row r="103">
          <cell r="A103">
            <v>520.9</v>
          </cell>
          <cell r="B103">
            <v>4609.8999999999996</v>
          </cell>
          <cell r="C103">
            <v>90</v>
          </cell>
          <cell r="D103">
            <v>5706</v>
          </cell>
          <cell r="E103">
            <v>5335</v>
          </cell>
          <cell r="F103">
            <v>90</v>
          </cell>
        </row>
        <row r="104">
          <cell r="A104">
            <v>529.9</v>
          </cell>
          <cell r="B104">
            <v>4610</v>
          </cell>
          <cell r="C104">
            <v>91</v>
          </cell>
          <cell r="D104">
            <v>5835</v>
          </cell>
          <cell r="E104">
            <v>5336</v>
          </cell>
          <cell r="F104">
            <v>91</v>
          </cell>
        </row>
        <row r="105">
          <cell r="A105">
            <v>539</v>
          </cell>
          <cell r="B105">
            <v>4610.1000000000004</v>
          </cell>
          <cell r="C105">
            <v>91.4</v>
          </cell>
          <cell r="D105">
            <v>5963</v>
          </cell>
          <cell r="E105">
            <v>5337</v>
          </cell>
          <cell r="F105">
            <v>91.4</v>
          </cell>
        </row>
        <row r="106">
          <cell r="A106">
            <v>548.20000000000005</v>
          </cell>
          <cell r="B106">
            <v>4610.2</v>
          </cell>
          <cell r="C106">
            <v>91.8</v>
          </cell>
          <cell r="D106">
            <v>6092</v>
          </cell>
          <cell r="E106">
            <v>5338</v>
          </cell>
          <cell r="F106">
            <v>91.8</v>
          </cell>
        </row>
        <row r="107">
          <cell r="A107">
            <v>557.4</v>
          </cell>
          <cell r="B107">
            <v>4610.3</v>
          </cell>
          <cell r="C107">
            <v>92.2</v>
          </cell>
          <cell r="D107">
            <v>6221</v>
          </cell>
          <cell r="E107">
            <v>5339</v>
          </cell>
          <cell r="F107">
            <v>92.2</v>
          </cell>
        </row>
        <row r="108">
          <cell r="A108">
            <v>566.6</v>
          </cell>
          <cell r="B108">
            <v>4610.3999999999996</v>
          </cell>
          <cell r="C108">
            <v>92.6</v>
          </cell>
          <cell r="D108">
            <v>6350</v>
          </cell>
          <cell r="E108">
            <v>5340</v>
          </cell>
          <cell r="F108">
            <v>92.6</v>
          </cell>
        </row>
        <row r="109">
          <cell r="A109">
            <v>575.9</v>
          </cell>
          <cell r="B109">
            <v>4610.5</v>
          </cell>
          <cell r="C109">
            <v>93</v>
          </cell>
          <cell r="D109">
            <v>6485</v>
          </cell>
          <cell r="E109">
            <v>5341</v>
          </cell>
          <cell r="F109">
            <v>93</v>
          </cell>
        </row>
        <row r="110">
          <cell r="A110">
            <v>585.20000000000005</v>
          </cell>
          <cell r="B110">
            <v>4610.6000000000004</v>
          </cell>
          <cell r="C110">
            <v>93.4</v>
          </cell>
          <cell r="D110">
            <v>6619</v>
          </cell>
          <cell r="E110">
            <v>5342</v>
          </cell>
          <cell r="F110">
            <v>93.4</v>
          </cell>
        </row>
        <row r="111">
          <cell r="A111">
            <v>594.6</v>
          </cell>
          <cell r="B111">
            <v>4610.7</v>
          </cell>
          <cell r="C111">
            <v>93.8</v>
          </cell>
          <cell r="D111">
            <v>6754</v>
          </cell>
          <cell r="E111">
            <v>5343</v>
          </cell>
          <cell r="F111">
            <v>93.8</v>
          </cell>
        </row>
        <row r="112">
          <cell r="A112">
            <v>604</v>
          </cell>
          <cell r="B112">
            <v>4610.8</v>
          </cell>
          <cell r="C112">
            <v>94.2</v>
          </cell>
          <cell r="D112">
            <v>6889</v>
          </cell>
          <cell r="E112">
            <v>5344</v>
          </cell>
          <cell r="F112">
            <v>94.2</v>
          </cell>
        </row>
        <row r="113">
          <cell r="A113">
            <v>613.4</v>
          </cell>
          <cell r="B113">
            <v>4610.8999999999996</v>
          </cell>
          <cell r="C113">
            <v>94.6</v>
          </cell>
          <cell r="D113">
            <v>7023</v>
          </cell>
          <cell r="E113">
            <v>5345</v>
          </cell>
          <cell r="F113">
            <v>94.6</v>
          </cell>
        </row>
        <row r="114">
          <cell r="A114">
            <v>622.9</v>
          </cell>
          <cell r="B114">
            <v>4611</v>
          </cell>
          <cell r="C114">
            <v>95</v>
          </cell>
          <cell r="D114">
            <v>7163</v>
          </cell>
          <cell r="E114">
            <v>5346</v>
          </cell>
          <cell r="F114">
            <v>95</v>
          </cell>
        </row>
        <row r="115">
          <cell r="A115">
            <v>632.5</v>
          </cell>
          <cell r="B115">
            <v>4611.1000000000004</v>
          </cell>
          <cell r="C115">
            <v>95.9</v>
          </cell>
          <cell r="D115">
            <v>7304</v>
          </cell>
          <cell r="E115">
            <v>5347</v>
          </cell>
          <cell r="F115">
            <v>95.9</v>
          </cell>
        </row>
        <row r="116">
          <cell r="A116">
            <v>642.1</v>
          </cell>
          <cell r="B116">
            <v>4611.2</v>
          </cell>
          <cell r="C116">
            <v>96.8</v>
          </cell>
          <cell r="D116">
            <v>7445</v>
          </cell>
          <cell r="E116">
            <v>5348</v>
          </cell>
          <cell r="F116">
            <v>96.8</v>
          </cell>
        </row>
        <row r="117">
          <cell r="A117">
            <v>651.79999999999995</v>
          </cell>
          <cell r="B117">
            <v>4611.3</v>
          </cell>
          <cell r="C117">
            <v>97.7</v>
          </cell>
          <cell r="D117">
            <v>7585</v>
          </cell>
          <cell r="E117">
            <v>5349</v>
          </cell>
          <cell r="F117">
            <v>97.7</v>
          </cell>
        </row>
        <row r="118">
          <cell r="A118">
            <v>661.6</v>
          </cell>
          <cell r="B118">
            <v>4611.3999999999996</v>
          </cell>
          <cell r="C118">
            <v>98.6</v>
          </cell>
          <cell r="D118">
            <v>7726</v>
          </cell>
          <cell r="E118">
            <v>5350</v>
          </cell>
          <cell r="F118">
            <v>98.6</v>
          </cell>
        </row>
        <row r="119">
          <cell r="A119">
            <v>671.5</v>
          </cell>
          <cell r="B119">
            <v>4611.5</v>
          </cell>
          <cell r="C119">
            <v>99.5</v>
          </cell>
          <cell r="D119">
            <v>7874</v>
          </cell>
          <cell r="E119">
            <v>5351</v>
          </cell>
          <cell r="F119">
            <v>99.5</v>
          </cell>
        </row>
        <row r="120">
          <cell r="A120">
            <v>681.5</v>
          </cell>
          <cell r="B120">
            <v>4611.6000000000004</v>
          </cell>
          <cell r="C120">
            <v>100.4</v>
          </cell>
          <cell r="D120">
            <v>8021</v>
          </cell>
          <cell r="E120">
            <v>5352</v>
          </cell>
          <cell r="F120">
            <v>100.4</v>
          </cell>
        </row>
        <row r="121">
          <cell r="A121">
            <v>691.6</v>
          </cell>
          <cell r="B121">
            <v>4611.7</v>
          </cell>
          <cell r="C121">
            <v>101.2</v>
          </cell>
          <cell r="D121">
            <v>8169</v>
          </cell>
          <cell r="E121">
            <v>5353</v>
          </cell>
          <cell r="F121">
            <v>101.2</v>
          </cell>
        </row>
        <row r="122">
          <cell r="A122">
            <v>701.8</v>
          </cell>
          <cell r="B122">
            <v>4611.8</v>
          </cell>
          <cell r="C122">
            <v>102.1</v>
          </cell>
          <cell r="D122">
            <v>8317</v>
          </cell>
          <cell r="E122">
            <v>5354</v>
          </cell>
          <cell r="F122">
            <v>102.1</v>
          </cell>
        </row>
        <row r="123">
          <cell r="A123">
            <v>712</v>
          </cell>
          <cell r="B123">
            <v>4611.8999999999996</v>
          </cell>
          <cell r="C123">
            <v>103</v>
          </cell>
          <cell r="D123">
            <v>8464</v>
          </cell>
          <cell r="E123">
            <v>5355</v>
          </cell>
          <cell r="F123">
            <v>103</v>
          </cell>
        </row>
        <row r="124">
          <cell r="A124">
            <v>722.4</v>
          </cell>
          <cell r="B124">
            <v>4612</v>
          </cell>
          <cell r="C124">
            <v>103.9</v>
          </cell>
          <cell r="D124">
            <v>8618</v>
          </cell>
          <cell r="E124">
            <v>5356</v>
          </cell>
          <cell r="F124">
            <v>103.9</v>
          </cell>
        </row>
        <row r="125">
          <cell r="A125">
            <v>732.8</v>
          </cell>
          <cell r="B125">
            <v>4612.1000000000004</v>
          </cell>
          <cell r="C125">
            <v>104.4</v>
          </cell>
          <cell r="D125">
            <v>8771</v>
          </cell>
          <cell r="E125">
            <v>5357</v>
          </cell>
          <cell r="F125">
            <v>104.4</v>
          </cell>
        </row>
        <row r="126">
          <cell r="A126">
            <v>743.3</v>
          </cell>
          <cell r="B126">
            <v>4612.2</v>
          </cell>
          <cell r="C126">
            <v>104.9</v>
          </cell>
          <cell r="D126">
            <v>8925</v>
          </cell>
          <cell r="E126">
            <v>5358</v>
          </cell>
          <cell r="F126">
            <v>104.9</v>
          </cell>
        </row>
        <row r="127">
          <cell r="A127">
            <v>753.8</v>
          </cell>
          <cell r="B127">
            <v>4612.3</v>
          </cell>
          <cell r="C127">
            <v>105.4</v>
          </cell>
          <cell r="D127">
            <v>9078</v>
          </cell>
          <cell r="E127">
            <v>5359</v>
          </cell>
          <cell r="F127">
            <v>105.4</v>
          </cell>
        </row>
        <row r="128">
          <cell r="A128">
            <v>764.3</v>
          </cell>
          <cell r="B128">
            <v>4612.3999999999996</v>
          </cell>
          <cell r="C128">
            <v>105.9</v>
          </cell>
          <cell r="D128">
            <v>9232</v>
          </cell>
          <cell r="E128">
            <v>5360</v>
          </cell>
          <cell r="F128">
            <v>105.9</v>
          </cell>
        </row>
        <row r="129">
          <cell r="A129">
            <v>775</v>
          </cell>
          <cell r="B129">
            <v>4612.5</v>
          </cell>
          <cell r="C129">
            <v>106.4</v>
          </cell>
          <cell r="D129">
            <v>9392</v>
          </cell>
          <cell r="E129">
            <v>5361</v>
          </cell>
          <cell r="F129">
            <v>106.4</v>
          </cell>
        </row>
        <row r="130">
          <cell r="A130">
            <v>785.6</v>
          </cell>
          <cell r="B130">
            <v>4612.6000000000004</v>
          </cell>
          <cell r="C130">
            <v>107</v>
          </cell>
          <cell r="D130">
            <v>9551</v>
          </cell>
          <cell r="E130">
            <v>5362</v>
          </cell>
          <cell r="F130">
            <v>107</v>
          </cell>
        </row>
        <row r="131">
          <cell r="A131">
            <v>796.4</v>
          </cell>
          <cell r="B131">
            <v>4612.7</v>
          </cell>
          <cell r="C131">
            <v>107.5</v>
          </cell>
          <cell r="D131">
            <v>9711</v>
          </cell>
          <cell r="E131">
            <v>5363</v>
          </cell>
          <cell r="F131">
            <v>107.5</v>
          </cell>
        </row>
        <row r="132">
          <cell r="A132">
            <v>807.1</v>
          </cell>
          <cell r="B132">
            <v>4612.8</v>
          </cell>
          <cell r="C132">
            <v>108</v>
          </cell>
          <cell r="D132">
            <v>9871</v>
          </cell>
          <cell r="E132">
            <v>5364</v>
          </cell>
          <cell r="F132">
            <v>108</v>
          </cell>
        </row>
        <row r="133">
          <cell r="A133">
            <v>817.9</v>
          </cell>
          <cell r="B133">
            <v>4612.8999999999996</v>
          </cell>
          <cell r="C133">
            <v>108.5</v>
          </cell>
          <cell r="D133">
            <v>10030</v>
          </cell>
          <cell r="E133">
            <v>5365</v>
          </cell>
          <cell r="F133">
            <v>108.5</v>
          </cell>
        </row>
        <row r="134">
          <cell r="A134">
            <v>828.8</v>
          </cell>
          <cell r="B134">
            <v>4613</v>
          </cell>
          <cell r="C134">
            <v>109</v>
          </cell>
          <cell r="D134">
            <v>10195</v>
          </cell>
          <cell r="E134">
            <v>5366</v>
          </cell>
          <cell r="F134">
            <v>109</v>
          </cell>
        </row>
        <row r="135">
          <cell r="A135">
            <v>839.8</v>
          </cell>
          <cell r="B135">
            <v>4613.1000000000004</v>
          </cell>
          <cell r="C135">
            <v>109.8</v>
          </cell>
          <cell r="D135">
            <v>10361</v>
          </cell>
          <cell r="E135">
            <v>5367</v>
          </cell>
          <cell r="F135">
            <v>109.8</v>
          </cell>
        </row>
        <row r="136">
          <cell r="A136">
            <v>850.8</v>
          </cell>
          <cell r="B136">
            <v>4613.2</v>
          </cell>
          <cell r="C136">
            <v>110.6</v>
          </cell>
          <cell r="D136">
            <v>10526</v>
          </cell>
          <cell r="E136">
            <v>5368</v>
          </cell>
          <cell r="F136">
            <v>110.6</v>
          </cell>
        </row>
        <row r="137">
          <cell r="A137">
            <v>861.9</v>
          </cell>
          <cell r="B137">
            <v>4613.3</v>
          </cell>
          <cell r="C137">
            <v>111.4</v>
          </cell>
          <cell r="D137">
            <v>10691</v>
          </cell>
          <cell r="E137">
            <v>5369</v>
          </cell>
          <cell r="F137">
            <v>111.4</v>
          </cell>
        </row>
        <row r="138">
          <cell r="A138">
            <v>873.1</v>
          </cell>
          <cell r="B138">
            <v>4613.3999999999996</v>
          </cell>
          <cell r="C138">
            <v>112.2</v>
          </cell>
          <cell r="D138">
            <v>10857</v>
          </cell>
          <cell r="E138">
            <v>5370</v>
          </cell>
          <cell r="F138">
            <v>112.2</v>
          </cell>
        </row>
        <row r="139">
          <cell r="A139">
            <v>884.3</v>
          </cell>
          <cell r="B139">
            <v>4613.5</v>
          </cell>
          <cell r="C139">
            <v>113</v>
          </cell>
          <cell r="D139">
            <v>11029</v>
          </cell>
          <cell r="E139">
            <v>5371</v>
          </cell>
          <cell r="F139">
            <v>113</v>
          </cell>
        </row>
        <row r="140">
          <cell r="A140">
            <v>895.7</v>
          </cell>
          <cell r="B140">
            <v>4613.6000000000004</v>
          </cell>
          <cell r="C140">
            <v>113.8</v>
          </cell>
          <cell r="D140">
            <v>11201</v>
          </cell>
          <cell r="E140">
            <v>5372</v>
          </cell>
          <cell r="F140">
            <v>113.8</v>
          </cell>
        </row>
        <row r="141">
          <cell r="A141">
            <v>907.1</v>
          </cell>
          <cell r="B141">
            <v>4613.7</v>
          </cell>
          <cell r="C141">
            <v>114.7</v>
          </cell>
          <cell r="D141">
            <v>11373</v>
          </cell>
          <cell r="E141">
            <v>5373</v>
          </cell>
          <cell r="F141">
            <v>114.7</v>
          </cell>
        </row>
        <row r="142">
          <cell r="A142">
            <v>918.6</v>
          </cell>
          <cell r="B142">
            <v>4613.8</v>
          </cell>
          <cell r="C142">
            <v>115.5</v>
          </cell>
          <cell r="D142">
            <v>11546</v>
          </cell>
          <cell r="E142">
            <v>5374</v>
          </cell>
          <cell r="F142">
            <v>115.5</v>
          </cell>
        </row>
        <row r="143">
          <cell r="A143">
            <v>930.2</v>
          </cell>
          <cell r="B143">
            <v>4613.8999999999996</v>
          </cell>
          <cell r="C143">
            <v>116.3</v>
          </cell>
          <cell r="D143">
            <v>11718</v>
          </cell>
          <cell r="E143">
            <v>5375</v>
          </cell>
          <cell r="F143">
            <v>116.3</v>
          </cell>
        </row>
        <row r="144">
          <cell r="A144">
            <v>941.9</v>
          </cell>
          <cell r="B144">
            <v>4614</v>
          </cell>
          <cell r="C144">
            <v>117.1</v>
          </cell>
          <cell r="D144">
            <v>11898</v>
          </cell>
          <cell r="E144">
            <v>5376</v>
          </cell>
          <cell r="F144">
            <v>117.1</v>
          </cell>
        </row>
        <row r="145">
          <cell r="A145">
            <v>953.6</v>
          </cell>
          <cell r="B145">
            <v>4614.1000000000004</v>
          </cell>
          <cell r="C145">
            <v>117.6</v>
          </cell>
          <cell r="D145">
            <v>12078</v>
          </cell>
          <cell r="E145">
            <v>5377</v>
          </cell>
          <cell r="F145">
            <v>117.6</v>
          </cell>
        </row>
        <row r="146">
          <cell r="A146">
            <v>965.4</v>
          </cell>
          <cell r="B146">
            <v>4614.2</v>
          </cell>
          <cell r="C146">
            <v>118</v>
          </cell>
          <cell r="D146">
            <v>12258</v>
          </cell>
          <cell r="E146">
            <v>5378</v>
          </cell>
          <cell r="F146">
            <v>118</v>
          </cell>
        </row>
        <row r="147">
          <cell r="A147">
            <v>977.2</v>
          </cell>
          <cell r="B147">
            <v>4614.3</v>
          </cell>
          <cell r="C147">
            <v>118.5</v>
          </cell>
          <cell r="D147">
            <v>12438</v>
          </cell>
          <cell r="E147">
            <v>5379</v>
          </cell>
          <cell r="F147">
            <v>118.5</v>
          </cell>
        </row>
        <row r="148">
          <cell r="A148">
            <v>989.1</v>
          </cell>
          <cell r="B148">
            <v>4614.3999999999996</v>
          </cell>
          <cell r="C148">
            <v>119</v>
          </cell>
          <cell r="D148">
            <v>12618</v>
          </cell>
          <cell r="E148">
            <v>5380</v>
          </cell>
          <cell r="F148">
            <v>119</v>
          </cell>
        </row>
        <row r="149">
          <cell r="A149">
            <v>1001</v>
          </cell>
          <cell r="B149">
            <v>4614.5</v>
          </cell>
          <cell r="C149">
            <v>119.5</v>
          </cell>
          <cell r="D149">
            <v>12811</v>
          </cell>
          <cell r="E149">
            <v>5381</v>
          </cell>
          <cell r="F149">
            <v>119.5</v>
          </cell>
        </row>
        <row r="150">
          <cell r="A150">
            <v>1013</v>
          </cell>
          <cell r="B150">
            <v>4614.6000000000004</v>
          </cell>
          <cell r="C150">
            <v>120</v>
          </cell>
          <cell r="D150">
            <v>13003</v>
          </cell>
          <cell r="E150">
            <v>5382</v>
          </cell>
          <cell r="F150">
            <v>120</v>
          </cell>
        </row>
        <row r="151">
          <cell r="A151">
            <v>1025</v>
          </cell>
          <cell r="B151">
            <v>4614.7</v>
          </cell>
          <cell r="C151">
            <v>120.4</v>
          </cell>
          <cell r="D151">
            <v>13196</v>
          </cell>
          <cell r="E151">
            <v>5383.1</v>
          </cell>
          <cell r="F151">
            <v>120.4</v>
          </cell>
        </row>
        <row r="152">
          <cell r="A152">
            <v>1037.0999999999999</v>
          </cell>
          <cell r="B152">
            <v>4614.8</v>
          </cell>
          <cell r="C152">
            <v>120.9</v>
          </cell>
          <cell r="D152"/>
          <cell r="E152"/>
          <cell r="F152">
            <v>120.9</v>
          </cell>
        </row>
        <row r="153">
          <cell r="A153">
            <v>1049.2</v>
          </cell>
          <cell r="B153">
            <v>4614.8999999999996</v>
          </cell>
          <cell r="C153">
            <v>121.4</v>
          </cell>
          <cell r="D153"/>
          <cell r="E153"/>
          <cell r="F153">
            <v>121.4</v>
          </cell>
        </row>
        <row r="154">
          <cell r="A154">
            <v>1061.3</v>
          </cell>
          <cell r="B154">
            <v>4615</v>
          </cell>
          <cell r="C154">
            <v>121.9</v>
          </cell>
          <cell r="D154"/>
          <cell r="E154"/>
          <cell r="F154">
            <v>121.9</v>
          </cell>
        </row>
        <row r="155">
          <cell r="A155">
            <v>1073.5999999999999</v>
          </cell>
          <cell r="B155">
            <v>4615.1000000000004</v>
          </cell>
          <cell r="C155">
            <v>122.8</v>
          </cell>
          <cell r="D155"/>
          <cell r="E155"/>
          <cell r="F155">
            <v>122.8</v>
          </cell>
        </row>
        <row r="156">
          <cell r="A156">
            <v>1085.9000000000001</v>
          </cell>
          <cell r="B156">
            <v>4615.2</v>
          </cell>
          <cell r="C156">
            <v>123.8</v>
          </cell>
          <cell r="D156"/>
          <cell r="E156"/>
          <cell r="F156">
            <v>123.8</v>
          </cell>
        </row>
        <row r="157">
          <cell r="A157">
            <v>1098.3</v>
          </cell>
          <cell r="B157">
            <v>4615.3</v>
          </cell>
          <cell r="C157">
            <v>124.7</v>
          </cell>
          <cell r="D157"/>
          <cell r="E157"/>
          <cell r="F157">
            <v>124.7</v>
          </cell>
        </row>
        <row r="158">
          <cell r="A158">
            <v>1110.8</v>
          </cell>
          <cell r="B158">
            <v>4615.3999999999996</v>
          </cell>
          <cell r="C158">
            <v>125.6</v>
          </cell>
          <cell r="D158"/>
          <cell r="E158"/>
          <cell r="F158">
            <v>125.6</v>
          </cell>
        </row>
        <row r="159">
          <cell r="A159">
            <v>1123.4000000000001</v>
          </cell>
          <cell r="B159">
            <v>4615.5</v>
          </cell>
          <cell r="C159">
            <v>126.6</v>
          </cell>
          <cell r="D159"/>
          <cell r="E159"/>
          <cell r="F159">
            <v>126.6</v>
          </cell>
        </row>
        <row r="160">
          <cell r="A160">
            <v>1136.2</v>
          </cell>
          <cell r="B160">
            <v>4615.6000000000004</v>
          </cell>
          <cell r="C160">
            <v>127.5</v>
          </cell>
          <cell r="D160"/>
          <cell r="E160"/>
          <cell r="F160">
            <v>127.5</v>
          </cell>
        </row>
        <row r="161">
          <cell r="A161">
            <v>1149</v>
          </cell>
          <cell r="B161">
            <v>4615.7</v>
          </cell>
          <cell r="C161">
            <v>128.5</v>
          </cell>
          <cell r="D161"/>
          <cell r="E161"/>
          <cell r="F161">
            <v>128.5</v>
          </cell>
        </row>
        <row r="162">
          <cell r="A162">
            <v>1161.8</v>
          </cell>
          <cell r="B162">
            <v>4615.8</v>
          </cell>
          <cell r="C162">
            <v>129.4</v>
          </cell>
          <cell r="D162"/>
          <cell r="E162"/>
          <cell r="F162">
            <v>129.4</v>
          </cell>
        </row>
        <row r="163">
          <cell r="A163">
            <v>1174.8</v>
          </cell>
          <cell r="B163">
            <v>4615.8999999999996</v>
          </cell>
          <cell r="C163">
            <v>130.4</v>
          </cell>
          <cell r="D163"/>
          <cell r="E163"/>
          <cell r="F163">
            <v>130.4</v>
          </cell>
        </row>
        <row r="164">
          <cell r="A164">
            <v>1187.9000000000001</v>
          </cell>
          <cell r="B164">
            <v>4616</v>
          </cell>
          <cell r="C164">
            <v>131.30000000000001</v>
          </cell>
          <cell r="D164"/>
          <cell r="E164"/>
          <cell r="F164">
            <v>131.30000000000001</v>
          </cell>
        </row>
        <row r="165">
          <cell r="A165">
            <v>1201.0999999999999</v>
          </cell>
          <cell r="B165">
            <v>4616.1000000000004</v>
          </cell>
          <cell r="C165">
            <v>131.80000000000001</v>
          </cell>
          <cell r="D165"/>
          <cell r="E165"/>
          <cell r="F165">
            <v>131.80000000000001</v>
          </cell>
        </row>
        <row r="166">
          <cell r="A166">
            <v>1214.3</v>
          </cell>
          <cell r="B166">
            <v>4616.2</v>
          </cell>
          <cell r="C166">
            <v>132.30000000000001</v>
          </cell>
          <cell r="D166"/>
          <cell r="E166"/>
          <cell r="F166">
            <v>132.30000000000001</v>
          </cell>
        </row>
        <row r="167">
          <cell r="A167">
            <v>1227.5</v>
          </cell>
          <cell r="B167">
            <v>4616.3</v>
          </cell>
          <cell r="C167">
            <v>132.80000000000001</v>
          </cell>
          <cell r="D167"/>
          <cell r="E167"/>
          <cell r="F167">
            <v>132.80000000000001</v>
          </cell>
        </row>
        <row r="168">
          <cell r="A168">
            <v>1240.8</v>
          </cell>
          <cell r="B168">
            <v>4616.3999999999996</v>
          </cell>
          <cell r="C168">
            <v>133.30000000000001</v>
          </cell>
          <cell r="D168"/>
          <cell r="E168"/>
          <cell r="F168">
            <v>133.30000000000001</v>
          </cell>
        </row>
        <row r="169">
          <cell r="A169">
            <v>1254.2</v>
          </cell>
          <cell r="B169">
            <v>4616.5</v>
          </cell>
          <cell r="C169">
            <v>133.80000000000001</v>
          </cell>
          <cell r="D169"/>
          <cell r="E169"/>
          <cell r="F169">
            <v>133.80000000000001</v>
          </cell>
        </row>
        <row r="170">
          <cell r="A170">
            <v>1267.5999999999999</v>
          </cell>
          <cell r="B170">
            <v>4616.6000000000004</v>
          </cell>
          <cell r="C170">
            <v>134.30000000000001</v>
          </cell>
          <cell r="D170"/>
          <cell r="E170"/>
          <cell r="F170">
            <v>134.30000000000001</v>
          </cell>
        </row>
        <row r="171">
          <cell r="A171">
            <v>1281</v>
          </cell>
          <cell r="B171">
            <v>4616.7</v>
          </cell>
          <cell r="C171">
            <v>134.80000000000001</v>
          </cell>
          <cell r="D171"/>
          <cell r="E171"/>
          <cell r="F171">
            <v>134.80000000000001</v>
          </cell>
        </row>
        <row r="172">
          <cell r="A172">
            <v>1294.5</v>
          </cell>
          <cell r="B172">
            <v>4616.8</v>
          </cell>
          <cell r="C172">
            <v>135.30000000000001</v>
          </cell>
          <cell r="D172"/>
          <cell r="E172"/>
          <cell r="F172">
            <v>135.30000000000001</v>
          </cell>
        </row>
        <row r="173">
          <cell r="A173">
            <v>1308.0999999999999</v>
          </cell>
          <cell r="B173">
            <v>4616.8999999999996</v>
          </cell>
          <cell r="C173">
            <v>135.80000000000001</v>
          </cell>
          <cell r="D173"/>
          <cell r="E173"/>
          <cell r="F173">
            <v>135.80000000000001</v>
          </cell>
        </row>
        <row r="174">
          <cell r="A174">
            <v>1321.7</v>
          </cell>
          <cell r="B174">
            <v>4617</v>
          </cell>
          <cell r="C174">
            <v>136.30000000000001</v>
          </cell>
          <cell r="D174"/>
          <cell r="E174"/>
          <cell r="F174">
            <v>136.30000000000001</v>
          </cell>
        </row>
        <row r="175">
          <cell r="A175">
            <v>1335.4</v>
          </cell>
          <cell r="B175">
            <v>4617.1000000000004</v>
          </cell>
          <cell r="C175">
            <v>137.19999999999999</v>
          </cell>
          <cell r="D175"/>
          <cell r="E175"/>
          <cell r="F175">
            <v>137.19999999999999</v>
          </cell>
        </row>
        <row r="176">
          <cell r="A176">
            <v>1349.1</v>
          </cell>
          <cell r="B176">
            <v>4617.2</v>
          </cell>
          <cell r="C176">
            <v>138.1</v>
          </cell>
          <cell r="D176"/>
          <cell r="E176"/>
          <cell r="F176">
            <v>138.1</v>
          </cell>
        </row>
        <row r="177">
          <cell r="A177">
            <v>1363</v>
          </cell>
          <cell r="B177">
            <v>4617.3</v>
          </cell>
          <cell r="C177">
            <v>139.1</v>
          </cell>
          <cell r="D177"/>
          <cell r="E177"/>
          <cell r="F177">
            <v>139.1</v>
          </cell>
        </row>
        <row r="178">
          <cell r="A178">
            <v>1377</v>
          </cell>
          <cell r="B178">
            <v>4617.3999999999996</v>
          </cell>
          <cell r="C178">
            <v>140</v>
          </cell>
          <cell r="D178"/>
          <cell r="E178"/>
          <cell r="F178">
            <v>140</v>
          </cell>
        </row>
        <row r="179">
          <cell r="A179">
            <v>1391</v>
          </cell>
          <cell r="B179">
            <v>4617.5</v>
          </cell>
          <cell r="C179">
            <v>140.9</v>
          </cell>
          <cell r="D179"/>
          <cell r="E179"/>
          <cell r="F179">
            <v>140.9</v>
          </cell>
        </row>
        <row r="180">
          <cell r="A180">
            <v>1405.1</v>
          </cell>
          <cell r="B180">
            <v>4617.6000000000004</v>
          </cell>
          <cell r="C180">
            <v>141.80000000000001</v>
          </cell>
          <cell r="D180"/>
          <cell r="E180"/>
          <cell r="F180">
            <v>141.80000000000001</v>
          </cell>
        </row>
        <row r="181">
          <cell r="A181">
            <v>1419.4</v>
          </cell>
          <cell r="B181">
            <v>4617.7</v>
          </cell>
          <cell r="C181">
            <v>142.80000000000001</v>
          </cell>
          <cell r="D181"/>
          <cell r="E181"/>
          <cell r="F181">
            <v>142.80000000000001</v>
          </cell>
        </row>
        <row r="182">
          <cell r="A182">
            <v>1433.7</v>
          </cell>
          <cell r="B182">
            <v>4617.8</v>
          </cell>
          <cell r="C182">
            <v>143.69999999999999</v>
          </cell>
          <cell r="D182"/>
          <cell r="E182"/>
          <cell r="F182">
            <v>143.69999999999999</v>
          </cell>
        </row>
        <row r="183">
          <cell r="A183">
            <v>1448.1</v>
          </cell>
          <cell r="B183">
            <v>4617.8999999999996</v>
          </cell>
          <cell r="C183">
            <v>144.6</v>
          </cell>
          <cell r="D183"/>
          <cell r="E183"/>
          <cell r="F183">
            <v>144.6</v>
          </cell>
        </row>
        <row r="184">
          <cell r="A184">
            <v>1462.6</v>
          </cell>
          <cell r="B184">
            <v>4618</v>
          </cell>
          <cell r="C184">
            <v>145.6</v>
          </cell>
          <cell r="D184"/>
          <cell r="E184"/>
          <cell r="F184">
            <v>145.6</v>
          </cell>
        </row>
        <row r="185">
          <cell r="A185">
            <v>1477.2</v>
          </cell>
          <cell r="B185">
            <v>4618.1000000000004</v>
          </cell>
          <cell r="C185">
            <v>146</v>
          </cell>
          <cell r="D185"/>
          <cell r="E185"/>
          <cell r="F185">
            <v>146</v>
          </cell>
        </row>
        <row r="186">
          <cell r="A186">
            <v>1491.8</v>
          </cell>
          <cell r="B186">
            <v>4618.2</v>
          </cell>
          <cell r="C186">
            <v>146.5</v>
          </cell>
          <cell r="D186"/>
          <cell r="E186"/>
          <cell r="F186">
            <v>146.5</v>
          </cell>
        </row>
        <row r="187">
          <cell r="A187">
            <v>1506.5</v>
          </cell>
          <cell r="B187">
            <v>4618.3</v>
          </cell>
          <cell r="C187">
            <v>147</v>
          </cell>
          <cell r="D187"/>
          <cell r="E187"/>
          <cell r="F187">
            <v>147</v>
          </cell>
        </row>
        <row r="188">
          <cell r="A188">
            <v>1521.2</v>
          </cell>
          <cell r="B188">
            <v>4618.3999999999996</v>
          </cell>
          <cell r="C188">
            <v>147.5</v>
          </cell>
          <cell r="D188"/>
          <cell r="E188"/>
          <cell r="F188">
            <v>147.5</v>
          </cell>
        </row>
        <row r="189">
          <cell r="A189">
            <v>1536</v>
          </cell>
          <cell r="B189">
            <v>4618.5</v>
          </cell>
          <cell r="C189">
            <v>148</v>
          </cell>
          <cell r="D189"/>
          <cell r="E189"/>
          <cell r="F189">
            <v>148</v>
          </cell>
        </row>
        <row r="190">
          <cell r="A190">
            <v>1550.8</v>
          </cell>
          <cell r="B190">
            <v>4618.6000000000004</v>
          </cell>
          <cell r="C190">
            <v>148.5</v>
          </cell>
          <cell r="D190"/>
          <cell r="E190"/>
          <cell r="F190">
            <v>148.5</v>
          </cell>
        </row>
        <row r="191">
          <cell r="A191">
            <v>1565.7</v>
          </cell>
          <cell r="B191">
            <v>4618.7</v>
          </cell>
          <cell r="C191">
            <v>149</v>
          </cell>
          <cell r="D191"/>
          <cell r="E191"/>
          <cell r="F191">
            <v>149</v>
          </cell>
        </row>
        <row r="192">
          <cell r="A192">
            <v>1580.6</v>
          </cell>
          <cell r="B192">
            <v>4618.8</v>
          </cell>
          <cell r="C192">
            <v>149.4</v>
          </cell>
          <cell r="D192"/>
          <cell r="E192"/>
          <cell r="F192">
            <v>149.4</v>
          </cell>
        </row>
        <row r="193">
          <cell r="A193">
            <v>1595.6</v>
          </cell>
          <cell r="B193">
            <v>4618.8999999999996</v>
          </cell>
          <cell r="C193">
            <v>149.9</v>
          </cell>
          <cell r="D193"/>
          <cell r="E193"/>
          <cell r="F193">
            <v>149.9</v>
          </cell>
        </row>
        <row r="194">
          <cell r="A194">
            <v>1610.6</v>
          </cell>
          <cell r="B194">
            <v>4619</v>
          </cell>
          <cell r="C194">
            <v>150.4</v>
          </cell>
          <cell r="D194"/>
          <cell r="E194"/>
          <cell r="F194">
            <v>150.4</v>
          </cell>
        </row>
        <row r="195">
          <cell r="A195">
            <v>1625.7</v>
          </cell>
          <cell r="B195">
            <v>4619.1000000000004</v>
          </cell>
          <cell r="C195">
            <v>151.30000000000001</v>
          </cell>
          <cell r="D195"/>
          <cell r="E195"/>
          <cell r="F195">
            <v>151.30000000000001</v>
          </cell>
        </row>
        <row r="196">
          <cell r="A196">
            <v>1640.9</v>
          </cell>
          <cell r="B196">
            <v>4619.2</v>
          </cell>
          <cell r="C196">
            <v>152.19999999999999</v>
          </cell>
          <cell r="D196"/>
          <cell r="E196"/>
          <cell r="F196">
            <v>152.19999999999999</v>
          </cell>
        </row>
        <row r="197">
          <cell r="A197">
            <v>1656.1</v>
          </cell>
          <cell r="B197">
            <v>4619.3</v>
          </cell>
          <cell r="C197">
            <v>153.1</v>
          </cell>
          <cell r="D197"/>
          <cell r="E197"/>
          <cell r="F197">
            <v>153.1</v>
          </cell>
        </row>
        <row r="198">
          <cell r="A198">
            <v>1671.5</v>
          </cell>
          <cell r="B198">
            <v>4619.3999999999996</v>
          </cell>
          <cell r="C198">
            <v>153.9</v>
          </cell>
          <cell r="D198"/>
          <cell r="E198"/>
          <cell r="F198">
            <v>153.9</v>
          </cell>
        </row>
        <row r="199">
          <cell r="A199">
            <v>1686.9</v>
          </cell>
          <cell r="B199">
            <v>4619.5</v>
          </cell>
          <cell r="C199">
            <v>154.80000000000001</v>
          </cell>
          <cell r="D199"/>
          <cell r="E199"/>
          <cell r="F199">
            <v>154.80000000000001</v>
          </cell>
        </row>
        <row r="200">
          <cell r="A200">
            <v>1702.4</v>
          </cell>
          <cell r="B200">
            <v>4619.6000000000004</v>
          </cell>
          <cell r="C200">
            <v>155.69999999999999</v>
          </cell>
          <cell r="D200"/>
          <cell r="E200"/>
          <cell r="F200">
            <v>155.69999999999999</v>
          </cell>
        </row>
        <row r="201">
          <cell r="A201">
            <v>1718</v>
          </cell>
          <cell r="B201">
            <v>4619.7</v>
          </cell>
          <cell r="C201">
            <v>156.6</v>
          </cell>
          <cell r="D201"/>
          <cell r="E201"/>
          <cell r="F201">
            <v>156.6</v>
          </cell>
        </row>
        <row r="202">
          <cell r="A202">
            <v>1733.7</v>
          </cell>
          <cell r="B202">
            <v>4619.8</v>
          </cell>
          <cell r="C202">
            <v>157.5</v>
          </cell>
          <cell r="D202"/>
          <cell r="E202"/>
          <cell r="F202">
            <v>157.5</v>
          </cell>
        </row>
        <row r="203">
          <cell r="A203">
            <v>1749.5</v>
          </cell>
          <cell r="B203">
            <v>4619.8999999999996</v>
          </cell>
          <cell r="C203">
            <v>158.30000000000001</v>
          </cell>
          <cell r="D203"/>
          <cell r="E203"/>
          <cell r="F203">
            <v>158.30000000000001</v>
          </cell>
        </row>
        <row r="204">
          <cell r="A204">
            <v>1765.4</v>
          </cell>
          <cell r="B204">
            <v>4620</v>
          </cell>
          <cell r="C204">
            <v>159.19999999999999</v>
          </cell>
          <cell r="D204"/>
          <cell r="E204"/>
          <cell r="F204">
            <v>159.19999999999999</v>
          </cell>
        </row>
        <row r="205">
          <cell r="A205">
            <v>1781.4</v>
          </cell>
          <cell r="B205">
            <v>4620.1000000000004</v>
          </cell>
          <cell r="C205">
            <v>159.80000000000001</v>
          </cell>
          <cell r="D205"/>
          <cell r="E205"/>
          <cell r="F205">
            <v>159.80000000000001</v>
          </cell>
        </row>
        <row r="206">
          <cell r="A206">
            <v>1797.4</v>
          </cell>
          <cell r="B206">
            <v>4620.2</v>
          </cell>
          <cell r="C206">
            <v>160.4</v>
          </cell>
          <cell r="D206"/>
          <cell r="E206"/>
          <cell r="F206">
            <v>160.4</v>
          </cell>
        </row>
        <row r="207">
          <cell r="A207">
            <v>1813.4</v>
          </cell>
          <cell r="B207">
            <v>4620.3</v>
          </cell>
          <cell r="C207">
            <v>160.9</v>
          </cell>
          <cell r="D207"/>
          <cell r="E207"/>
          <cell r="F207">
            <v>160.9</v>
          </cell>
        </row>
        <row r="208">
          <cell r="A208">
            <v>1829.6</v>
          </cell>
          <cell r="B208">
            <v>4620.3999999999996</v>
          </cell>
          <cell r="C208">
            <v>161.5</v>
          </cell>
          <cell r="D208"/>
          <cell r="E208"/>
          <cell r="F208">
            <v>161.5</v>
          </cell>
        </row>
        <row r="209">
          <cell r="A209">
            <v>1845.7</v>
          </cell>
          <cell r="B209">
            <v>4620.5</v>
          </cell>
          <cell r="C209">
            <v>162.1</v>
          </cell>
          <cell r="D209"/>
          <cell r="E209"/>
          <cell r="F209">
            <v>162.1</v>
          </cell>
        </row>
        <row r="210">
          <cell r="A210">
            <v>1862</v>
          </cell>
          <cell r="B210">
            <v>4620.6000000000004</v>
          </cell>
          <cell r="C210">
            <v>162.6</v>
          </cell>
          <cell r="D210"/>
          <cell r="E210"/>
          <cell r="F210">
            <v>162.6</v>
          </cell>
        </row>
        <row r="211">
          <cell r="A211">
            <v>1878.3</v>
          </cell>
          <cell r="B211">
            <v>4620.7</v>
          </cell>
          <cell r="C211">
            <v>163.19999999999999</v>
          </cell>
          <cell r="D211"/>
          <cell r="E211"/>
          <cell r="F211">
            <v>163.19999999999999</v>
          </cell>
        </row>
        <row r="212">
          <cell r="A212">
            <v>1894.6</v>
          </cell>
          <cell r="B212">
            <v>4620.8</v>
          </cell>
          <cell r="C212">
            <v>163.69999999999999</v>
          </cell>
          <cell r="D212"/>
          <cell r="E212"/>
          <cell r="F212">
            <v>163.69999999999999</v>
          </cell>
        </row>
        <row r="213">
          <cell r="A213">
            <v>1911</v>
          </cell>
          <cell r="B213">
            <v>4620.8999999999996</v>
          </cell>
          <cell r="C213">
            <v>164.3</v>
          </cell>
          <cell r="D213"/>
          <cell r="E213"/>
          <cell r="F213">
            <v>164.3</v>
          </cell>
        </row>
        <row r="214">
          <cell r="A214">
            <v>1927.5</v>
          </cell>
          <cell r="B214">
            <v>4621</v>
          </cell>
          <cell r="C214">
            <v>164.9</v>
          </cell>
          <cell r="D214"/>
          <cell r="E214"/>
          <cell r="F214">
            <v>164.9</v>
          </cell>
        </row>
        <row r="215">
          <cell r="A215">
            <v>1944</v>
          </cell>
          <cell r="B215">
            <v>4621.1000000000004</v>
          </cell>
          <cell r="C215">
            <v>165.8</v>
          </cell>
          <cell r="D215"/>
          <cell r="E215"/>
          <cell r="F215">
            <v>165.8</v>
          </cell>
        </row>
        <row r="216">
          <cell r="A216">
            <v>1960.6</v>
          </cell>
          <cell r="B216">
            <v>4621.2</v>
          </cell>
          <cell r="C216">
            <v>166.8</v>
          </cell>
          <cell r="D216"/>
          <cell r="E216"/>
          <cell r="F216">
            <v>166.8</v>
          </cell>
        </row>
        <row r="217">
          <cell r="A217">
            <v>1977.3</v>
          </cell>
          <cell r="B217">
            <v>4621.3</v>
          </cell>
          <cell r="C217">
            <v>167.7</v>
          </cell>
          <cell r="D217"/>
          <cell r="E217"/>
          <cell r="F217">
            <v>167.7</v>
          </cell>
        </row>
        <row r="218">
          <cell r="A218">
            <v>1994.2</v>
          </cell>
          <cell r="B218">
            <v>4621.3999999999996</v>
          </cell>
          <cell r="C218">
            <v>168.7</v>
          </cell>
          <cell r="D218"/>
          <cell r="E218"/>
          <cell r="F218">
            <v>168.7</v>
          </cell>
        </row>
        <row r="219">
          <cell r="A219">
            <v>2011.1</v>
          </cell>
          <cell r="B219">
            <v>4621.5</v>
          </cell>
          <cell r="C219">
            <v>169.6</v>
          </cell>
          <cell r="D219"/>
          <cell r="E219"/>
          <cell r="F219">
            <v>169.6</v>
          </cell>
        </row>
        <row r="220">
          <cell r="A220">
            <v>2028.1</v>
          </cell>
          <cell r="B220">
            <v>4621.6000000000004</v>
          </cell>
          <cell r="C220">
            <v>170.5</v>
          </cell>
          <cell r="D220"/>
          <cell r="E220"/>
          <cell r="F220">
            <v>170.5</v>
          </cell>
        </row>
        <row r="221">
          <cell r="A221">
            <v>2045.2</v>
          </cell>
          <cell r="B221">
            <v>4621.7</v>
          </cell>
          <cell r="C221">
            <v>171.5</v>
          </cell>
          <cell r="D221"/>
          <cell r="E221"/>
          <cell r="F221">
            <v>171.5</v>
          </cell>
        </row>
        <row r="222">
          <cell r="A222">
            <v>2062.4</v>
          </cell>
          <cell r="B222">
            <v>4621.8</v>
          </cell>
          <cell r="C222">
            <v>172.4</v>
          </cell>
          <cell r="D222"/>
          <cell r="E222"/>
          <cell r="F222">
            <v>172.4</v>
          </cell>
        </row>
        <row r="223">
          <cell r="A223">
            <v>2079.6999999999998</v>
          </cell>
          <cell r="B223">
            <v>4621.8999999999996</v>
          </cell>
          <cell r="C223">
            <v>173.4</v>
          </cell>
          <cell r="D223"/>
          <cell r="E223"/>
          <cell r="F223">
            <v>173.4</v>
          </cell>
        </row>
        <row r="224">
          <cell r="A224">
            <v>2097.1</v>
          </cell>
          <cell r="B224">
            <v>4622</v>
          </cell>
          <cell r="C224">
            <v>174.3</v>
          </cell>
          <cell r="D224"/>
          <cell r="E224"/>
          <cell r="F224">
            <v>174.3</v>
          </cell>
        </row>
        <row r="225">
          <cell r="A225">
            <v>2114.5</v>
          </cell>
          <cell r="B225">
            <v>4622.1000000000004</v>
          </cell>
          <cell r="C225">
            <v>174.8</v>
          </cell>
          <cell r="D225"/>
          <cell r="E225"/>
          <cell r="F225">
            <v>174.8</v>
          </cell>
        </row>
        <row r="226">
          <cell r="A226">
            <v>2132</v>
          </cell>
          <cell r="B226">
            <v>4622.2</v>
          </cell>
          <cell r="C226">
            <v>175.3</v>
          </cell>
          <cell r="D226"/>
          <cell r="E226"/>
          <cell r="F226">
            <v>175.3</v>
          </cell>
        </row>
        <row r="227">
          <cell r="A227">
            <v>2149.6</v>
          </cell>
          <cell r="B227">
            <v>4622.3</v>
          </cell>
          <cell r="C227">
            <v>175.8</v>
          </cell>
          <cell r="D227"/>
          <cell r="E227"/>
          <cell r="F227">
            <v>175.8</v>
          </cell>
        </row>
        <row r="228">
          <cell r="A228">
            <v>2167.1999999999998</v>
          </cell>
          <cell r="B228">
            <v>4622.3999999999996</v>
          </cell>
          <cell r="C228">
            <v>176.3</v>
          </cell>
          <cell r="D228"/>
          <cell r="E228"/>
          <cell r="F228">
            <v>176.3</v>
          </cell>
        </row>
        <row r="229">
          <cell r="A229">
            <v>2184.8000000000002</v>
          </cell>
          <cell r="B229">
            <v>4622.5</v>
          </cell>
          <cell r="C229">
            <v>176.7</v>
          </cell>
          <cell r="D229"/>
          <cell r="E229"/>
          <cell r="F229">
            <v>176.7</v>
          </cell>
        </row>
        <row r="230">
          <cell r="A230">
            <v>2202.5</v>
          </cell>
          <cell r="B230">
            <v>4622.6000000000004</v>
          </cell>
          <cell r="C230">
            <v>177.2</v>
          </cell>
          <cell r="D230"/>
          <cell r="E230"/>
          <cell r="F230">
            <v>177.2</v>
          </cell>
        </row>
        <row r="231">
          <cell r="A231">
            <v>2220.3000000000002</v>
          </cell>
          <cell r="B231">
            <v>4622.7</v>
          </cell>
          <cell r="C231">
            <v>177.7</v>
          </cell>
          <cell r="D231"/>
          <cell r="E231"/>
          <cell r="F231">
            <v>177.7</v>
          </cell>
        </row>
        <row r="232">
          <cell r="A232">
            <v>2238.1</v>
          </cell>
          <cell r="B232">
            <v>4622.8</v>
          </cell>
          <cell r="C232">
            <v>178.2</v>
          </cell>
          <cell r="D232"/>
          <cell r="E232"/>
          <cell r="F232">
            <v>178.2</v>
          </cell>
        </row>
        <row r="233">
          <cell r="A233">
            <v>2255.9</v>
          </cell>
          <cell r="B233">
            <v>4622.8999999999996</v>
          </cell>
          <cell r="C233">
            <v>178.7</v>
          </cell>
          <cell r="D233"/>
          <cell r="E233"/>
          <cell r="F233">
            <v>178.7</v>
          </cell>
        </row>
        <row r="234">
          <cell r="A234">
            <v>2273.8000000000002</v>
          </cell>
          <cell r="B234">
            <v>4623</v>
          </cell>
          <cell r="C234">
            <v>179.2</v>
          </cell>
          <cell r="D234"/>
          <cell r="E234"/>
          <cell r="F234">
            <v>179.2</v>
          </cell>
        </row>
        <row r="235">
          <cell r="A235">
            <v>2291.8000000000002</v>
          </cell>
          <cell r="B235">
            <v>4623.1000000000004</v>
          </cell>
          <cell r="C235">
            <v>180.1</v>
          </cell>
          <cell r="D235"/>
          <cell r="E235"/>
          <cell r="F235">
            <v>180.1</v>
          </cell>
        </row>
        <row r="236">
          <cell r="A236">
            <v>2309.8000000000002</v>
          </cell>
          <cell r="B236">
            <v>4623.2</v>
          </cell>
          <cell r="C236">
            <v>181</v>
          </cell>
          <cell r="D236"/>
          <cell r="E236"/>
          <cell r="F236">
            <v>181</v>
          </cell>
        </row>
        <row r="237">
          <cell r="A237">
            <v>2328</v>
          </cell>
          <cell r="B237">
            <v>4623.3</v>
          </cell>
          <cell r="C237">
            <v>181.9</v>
          </cell>
          <cell r="D237"/>
          <cell r="E237"/>
          <cell r="F237">
            <v>181.9</v>
          </cell>
        </row>
        <row r="238">
          <cell r="A238">
            <v>2346.1999999999998</v>
          </cell>
          <cell r="B238">
            <v>4623.3999999999996</v>
          </cell>
          <cell r="C238">
            <v>182.8</v>
          </cell>
          <cell r="D238"/>
          <cell r="E238"/>
          <cell r="F238">
            <v>182.8</v>
          </cell>
        </row>
        <row r="239">
          <cell r="A239">
            <v>2364.5</v>
          </cell>
          <cell r="B239">
            <v>4623.5</v>
          </cell>
          <cell r="C239">
            <v>183.7</v>
          </cell>
          <cell r="D239"/>
          <cell r="E239"/>
          <cell r="F239">
            <v>183.7</v>
          </cell>
        </row>
        <row r="240">
          <cell r="A240">
            <v>2382.9</v>
          </cell>
          <cell r="B240">
            <v>4623.6000000000004</v>
          </cell>
          <cell r="C240">
            <v>184.6</v>
          </cell>
          <cell r="D240"/>
          <cell r="E240"/>
          <cell r="F240">
            <v>184.6</v>
          </cell>
        </row>
        <row r="241">
          <cell r="A241">
            <v>2401.4</v>
          </cell>
          <cell r="B241">
            <v>4623.7</v>
          </cell>
          <cell r="C241">
            <v>185.5</v>
          </cell>
          <cell r="D241"/>
          <cell r="E241"/>
          <cell r="F241">
            <v>185.5</v>
          </cell>
        </row>
        <row r="242">
          <cell r="A242">
            <v>2420</v>
          </cell>
          <cell r="B242">
            <v>4623.8</v>
          </cell>
          <cell r="C242">
            <v>186.4</v>
          </cell>
          <cell r="D242"/>
          <cell r="E242"/>
          <cell r="F242">
            <v>186.4</v>
          </cell>
        </row>
        <row r="243">
          <cell r="A243">
            <v>2438.6999999999998</v>
          </cell>
          <cell r="B243">
            <v>4623.8999999999996</v>
          </cell>
          <cell r="C243">
            <v>187.3</v>
          </cell>
          <cell r="D243"/>
          <cell r="E243"/>
          <cell r="F243">
            <v>187.3</v>
          </cell>
        </row>
        <row r="244">
          <cell r="A244">
            <v>2457.5</v>
          </cell>
          <cell r="B244">
            <v>4624</v>
          </cell>
          <cell r="C244">
            <v>188.2</v>
          </cell>
          <cell r="D244"/>
          <cell r="E244"/>
          <cell r="F244">
            <v>188.2</v>
          </cell>
        </row>
        <row r="245">
          <cell r="A245">
            <v>2476.3000000000002</v>
          </cell>
          <cell r="B245">
            <v>4624.1000000000004</v>
          </cell>
          <cell r="C245">
            <v>188.8</v>
          </cell>
          <cell r="D245"/>
          <cell r="E245"/>
          <cell r="F245">
            <v>188.8</v>
          </cell>
        </row>
        <row r="246">
          <cell r="A246">
            <v>2495.3000000000002</v>
          </cell>
          <cell r="B246">
            <v>4624.2</v>
          </cell>
          <cell r="C246">
            <v>189.3</v>
          </cell>
          <cell r="D246"/>
          <cell r="E246"/>
          <cell r="F246">
            <v>189.3</v>
          </cell>
        </row>
        <row r="247">
          <cell r="A247">
            <v>2514.1999999999998</v>
          </cell>
          <cell r="B247">
            <v>4624.3</v>
          </cell>
          <cell r="C247">
            <v>189.9</v>
          </cell>
          <cell r="D247"/>
          <cell r="E247"/>
          <cell r="F247">
            <v>189.9</v>
          </cell>
        </row>
        <row r="248">
          <cell r="A248">
            <v>2533.1999999999998</v>
          </cell>
          <cell r="B248">
            <v>4624.3999999999996</v>
          </cell>
          <cell r="C248">
            <v>190.5</v>
          </cell>
          <cell r="D248"/>
          <cell r="E248"/>
          <cell r="F248">
            <v>190.5</v>
          </cell>
        </row>
        <row r="249">
          <cell r="A249">
            <v>2552.3000000000002</v>
          </cell>
          <cell r="B249">
            <v>4624.5</v>
          </cell>
          <cell r="C249">
            <v>191</v>
          </cell>
          <cell r="D249"/>
          <cell r="E249"/>
          <cell r="F249">
            <v>191</v>
          </cell>
        </row>
        <row r="250">
          <cell r="A250">
            <v>2571.4</v>
          </cell>
          <cell r="B250">
            <v>4624.6000000000004</v>
          </cell>
          <cell r="C250">
            <v>191.6</v>
          </cell>
          <cell r="D250"/>
          <cell r="E250"/>
          <cell r="F250">
            <v>191.6</v>
          </cell>
        </row>
        <row r="251">
          <cell r="A251">
            <v>2590.6</v>
          </cell>
          <cell r="B251">
            <v>4624.7</v>
          </cell>
          <cell r="C251">
            <v>192.1</v>
          </cell>
          <cell r="D251"/>
          <cell r="E251"/>
          <cell r="F251">
            <v>192.1</v>
          </cell>
        </row>
        <row r="252">
          <cell r="A252">
            <v>2609.9</v>
          </cell>
          <cell r="B252">
            <v>4624.8</v>
          </cell>
          <cell r="C252">
            <v>192.7</v>
          </cell>
          <cell r="D252"/>
          <cell r="E252"/>
          <cell r="F252">
            <v>192.7</v>
          </cell>
        </row>
        <row r="253">
          <cell r="A253">
            <v>2629.2</v>
          </cell>
          <cell r="B253">
            <v>4624.8999999999996</v>
          </cell>
          <cell r="C253">
            <v>193.3</v>
          </cell>
          <cell r="D253"/>
          <cell r="E253"/>
          <cell r="F253">
            <v>193.3</v>
          </cell>
        </row>
        <row r="254">
          <cell r="A254">
            <v>2648.5</v>
          </cell>
          <cell r="B254">
            <v>4625</v>
          </cell>
          <cell r="C254">
            <v>193.8</v>
          </cell>
          <cell r="D254"/>
          <cell r="E254"/>
          <cell r="F254">
            <v>193.8</v>
          </cell>
        </row>
        <row r="255">
          <cell r="A255">
            <v>2667.9</v>
          </cell>
          <cell r="B255">
            <v>4625.1000000000004</v>
          </cell>
          <cell r="C255">
            <v>194.6</v>
          </cell>
          <cell r="D255"/>
          <cell r="E255"/>
          <cell r="F255">
            <v>194.6</v>
          </cell>
        </row>
        <row r="256">
          <cell r="A256">
            <v>2687.4</v>
          </cell>
          <cell r="B256">
            <v>4625.2</v>
          </cell>
          <cell r="C256">
            <v>195.5</v>
          </cell>
          <cell r="D256"/>
          <cell r="E256"/>
          <cell r="F256">
            <v>195.5</v>
          </cell>
        </row>
        <row r="257">
          <cell r="A257">
            <v>2707</v>
          </cell>
          <cell r="B257">
            <v>4625.3</v>
          </cell>
          <cell r="C257">
            <v>196.3</v>
          </cell>
          <cell r="D257"/>
          <cell r="E257"/>
          <cell r="F257">
            <v>196.3</v>
          </cell>
        </row>
        <row r="258">
          <cell r="A258">
            <v>2726.7</v>
          </cell>
          <cell r="B258">
            <v>4625.3999999999996</v>
          </cell>
          <cell r="C258">
            <v>197.2</v>
          </cell>
          <cell r="D258"/>
          <cell r="E258"/>
          <cell r="F258">
            <v>197.2</v>
          </cell>
        </row>
        <row r="259">
          <cell r="A259">
            <v>2746.5</v>
          </cell>
          <cell r="B259">
            <v>4625.5</v>
          </cell>
          <cell r="C259">
            <v>198</v>
          </cell>
          <cell r="D259"/>
          <cell r="E259"/>
          <cell r="F259">
            <v>198</v>
          </cell>
        </row>
        <row r="260">
          <cell r="A260">
            <v>2766.3</v>
          </cell>
          <cell r="B260">
            <v>4625.6000000000004</v>
          </cell>
          <cell r="C260">
            <v>198.8</v>
          </cell>
          <cell r="D260"/>
          <cell r="E260"/>
          <cell r="F260">
            <v>198.8</v>
          </cell>
        </row>
        <row r="261">
          <cell r="A261">
            <v>2786.2</v>
          </cell>
          <cell r="B261">
            <v>4625.7</v>
          </cell>
          <cell r="C261">
            <v>199.7</v>
          </cell>
          <cell r="D261"/>
          <cell r="E261"/>
          <cell r="F261">
            <v>199.7</v>
          </cell>
        </row>
        <row r="262">
          <cell r="A262">
            <v>2806.2</v>
          </cell>
          <cell r="B262">
            <v>4625.8</v>
          </cell>
          <cell r="C262">
            <v>200.5</v>
          </cell>
          <cell r="D262"/>
          <cell r="E262"/>
          <cell r="F262">
            <v>200.5</v>
          </cell>
        </row>
        <row r="263">
          <cell r="A263">
            <v>2826.3</v>
          </cell>
          <cell r="B263">
            <v>4625.8999999999996</v>
          </cell>
          <cell r="C263">
            <v>201.4</v>
          </cell>
          <cell r="D263"/>
          <cell r="E263"/>
          <cell r="F263">
            <v>201.4</v>
          </cell>
        </row>
        <row r="264">
          <cell r="A264">
            <v>2846.5</v>
          </cell>
          <cell r="B264">
            <v>4626</v>
          </cell>
          <cell r="C264">
            <v>202.2</v>
          </cell>
          <cell r="D264"/>
          <cell r="E264"/>
          <cell r="F264">
            <v>202.2</v>
          </cell>
        </row>
        <row r="265">
          <cell r="A265">
            <v>2866.8</v>
          </cell>
          <cell r="B265">
            <v>4626.1000000000004</v>
          </cell>
          <cell r="C265">
            <v>202.8</v>
          </cell>
          <cell r="D265"/>
          <cell r="E265"/>
          <cell r="F265">
            <v>202.8</v>
          </cell>
        </row>
        <row r="266">
          <cell r="A266">
            <v>2887.1</v>
          </cell>
          <cell r="B266">
            <v>4626.2</v>
          </cell>
          <cell r="C266">
            <v>203.4</v>
          </cell>
          <cell r="D266"/>
          <cell r="E266"/>
          <cell r="F266">
            <v>203.4</v>
          </cell>
        </row>
        <row r="267">
          <cell r="A267">
            <v>2907.4</v>
          </cell>
          <cell r="B267">
            <v>4626.3</v>
          </cell>
          <cell r="C267">
            <v>203.9</v>
          </cell>
          <cell r="D267"/>
          <cell r="E267"/>
          <cell r="F267">
            <v>203.9</v>
          </cell>
        </row>
        <row r="268">
          <cell r="A268">
            <v>2927.9</v>
          </cell>
          <cell r="B268">
            <v>4626.3999999999996</v>
          </cell>
          <cell r="C268">
            <v>204.5</v>
          </cell>
          <cell r="D268"/>
          <cell r="E268"/>
          <cell r="F268">
            <v>204.5</v>
          </cell>
        </row>
        <row r="269">
          <cell r="A269">
            <v>2948.3</v>
          </cell>
          <cell r="B269">
            <v>4626.5</v>
          </cell>
          <cell r="C269">
            <v>205.1</v>
          </cell>
          <cell r="D269"/>
          <cell r="E269"/>
          <cell r="F269">
            <v>205.1</v>
          </cell>
        </row>
        <row r="270">
          <cell r="A270">
            <v>2968.9</v>
          </cell>
          <cell r="B270">
            <v>4626.6000000000004</v>
          </cell>
          <cell r="C270">
            <v>205.7</v>
          </cell>
          <cell r="D270"/>
          <cell r="E270"/>
          <cell r="F270">
            <v>205.7</v>
          </cell>
        </row>
        <row r="271">
          <cell r="A271">
            <v>2989.5</v>
          </cell>
          <cell r="B271">
            <v>4626.7</v>
          </cell>
          <cell r="C271">
            <v>206.3</v>
          </cell>
          <cell r="D271"/>
          <cell r="E271"/>
          <cell r="F271">
            <v>206.3</v>
          </cell>
        </row>
        <row r="272">
          <cell r="A272">
            <v>3010.1</v>
          </cell>
          <cell r="B272">
            <v>4626.8</v>
          </cell>
          <cell r="C272">
            <v>206.9</v>
          </cell>
          <cell r="D272"/>
          <cell r="E272"/>
          <cell r="F272">
            <v>206.9</v>
          </cell>
        </row>
        <row r="273">
          <cell r="A273">
            <v>3030.9</v>
          </cell>
          <cell r="B273">
            <v>4626.8999999999996</v>
          </cell>
          <cell r="C273">
            <v>207.5</v>
          </cell>
          <cell r="D273"/>
          <cell r="E273"/>
          <cell r="F273">
            <v>207.5</v>
          </cell>
        </row>
        <row r="274">
          <cell r="A274">
            <v>3051.6</v>
          </cell>
          <cell r="B274">
            <v>4627</v>
          </cell>
          <cell r="C274">
            <v>208</v>
          </cell>
          <cell r="D274"/>
          <cell r="E274"/>
          <cell r="F274">
            <v>208</v>
          </cell>
        </row>
        <row r="275">
          <cell r="A275">
            <v>3072.5</v>
          </cell>
          <cell r="B275">
            <v>4627.1000000000004</v>
          </cell>
          <cell r="C275">
            <v>209.1</v>
          </cell>
          <cell r="D275"/>
          <cell r="E275"/>
          <cell r="F275">
            <v>209.1</v>
          </cell>
        </row>
        <row r="276">
          <cell r="A276">
            <v>3093.4</v>
          </cell>
          <cell r="B276">
            <v>4627.2</v>
          </cell>
          <cell r="C276">
            <v>210.1</v>
          </cell>
          <cell r="D276"/>
          <cell r="E276"/>
          <cell r="F276">
            <v>210.1</v>
          </cell>
        </row>
        <row r="277">
          <cell r="A277">
            <v>3114.5</v>
          </cell>
          <cell r="B277">
            <v>4627.3</v>
          </cell>
          <cell r="C277">
            <v>211.2</v>
          </cell>
          <cell r="D277"/>
          <cell r="E277"/>
          <cell r="F277">
            <v>211.2</v>
          </cell>
        </row>
        <row r="278">
          <cell r="A278">
            <v>3135.7</v>
          </cell>
          <cell r="B278">
            <v>4627.3999999999996</v>
          </cell>
          <cell r="C278">
            <v>212.2</v>
          </cell>
          <cell r="D278"/>
          <cell r="E278"/>
          <cell r="F278">
            <v>212.2</v>
          </cell>
        </row>
        <row r="279">
          <cell r="A279">
            <v>3156.9</v>
          </cell>
          <cell r="B279">
            <v>4627.5</v>
          </cell>
          <cell r="C279">
            <v>213.2</v>
          </cell>
          <cell r="D279"/>
          <cell r="E279"/>
          <cell r="F279">
            <v>213.2</v>
          </cell>
        </row>
        <row r="280">
          <cell r="A280">
            <v>3178.3</v>
          </cell>
          <cell r="B280">
            <v>4627.6000000000004</v>
          </cell>
          <cell r="C280">
            <v>214.3</v>
          </cell>
          <cell r="D280"/>
          <cell r="E280"/>
          <cell r="F280">
            <v>214.3</v>
          </cell>
        </row>
        <row r="281">
          <cell r="A281">
            <v>3199.8</v>
          </cell>
          <cell r="B281">
            <v>4627.7</v>
          </cell>
          <cell r="C281">
            <v>215.3</v>
          </cell>
          <cell r="D281"/>
          <cell r="E281"/>
          <cell r="F281">
            <v>215.3</v>
          </cell>
        </row>
        <row r="282">
          <cell r="A282">
            <v>3221.4</v>
          </cell>
          <cell r="B282">
            <v>4627.8</v>
          </cell>
          <cell r="C282">
            <v>216.3</v>
          </cell>
          <cell r="D282"/>
          <cell r="E282"/>
          <cell r="F282">
            <v>216.3</v>
          </cell>
        </row>
        <row r="283">
          <cell r="A283">
            <v>3243.1</v>
          </cell>
          <cell r="B283">
            <v>4627.8999999999996</v>
          </cell>
          <cell r="C283">
            <v>217.4</v>
          </cell>
          <cell r="D283"/>
          <cell r="E283"/>
          <cell r="F283">
            <v>217.4</v>
          </cell>
        </row>
        <row r="284">
          <cell r="A284">
            <v>3264.9</v>
          </cell>
          <cell r="B284">
            <v>4628</v>
          </cell>
          <cell r="C284">
            <v>218.4</v>
          </cell>
          <cell r="D284"/>
          <cell r="E284"/>
          <cell r="F284">
            <v>218.4</v>
          </cell>
        </row>
        <row r="285">
          <cell r="A285">
            <v>3286.7</v>
          </cell>
          <cell r="B285">
            <v>4628.1000000000004</v>
          </cell>
          <cell r="C285">
            <v>219</v>
          </cell>
          <cell r="D285"/>
          <cell r="E285"/>
          <cell r="F285">
            <v>219</v>
          </cell>
        </row>
        <row r="286">
          <cell r="A286">
            <v>3308.7</v>
          </cell>
          <cell r="B286">
            <v>4628.2</v>
          </cell>
          <cell r="C286">
            <v>219.6</v>
          </cell>
          <cell r="D286"/>
          <cell r="E286"/>
          <cell r="F286">
            <v>219.6</v>
          </cell>
        </row>
        <row r="287">
          <cell r="A287">
            <v>3330.6</v>
          </cell>
          <cell r="B287">
            <v>4628.3</v>
          </cell>
          <cell r="C287">
            <v>220.2</v>
          </cell>
          <cell r="D287"/>
          <cell r="E287"/>
          <cell r="F287">
            <v>220.2</v>
          </cell>
        </row>
        <row r="288">
          <cell r="A288">
            <v>3352.7</v>
          </cell>
          <cell r="B288">
            <v>4628.3999999999996</v>
          </cell>
          <cell r="C288">
            <v>220.8</v>
          </cell>
          <cell r="D288"/>
          <cell r="E288"/>
          <cell r="F288">
            <v>220.8</v>
          </cell>
        </row>
        <row r="289">
          <cell r="A289">
            <v>3374.8</v>
          </cell>
          <cell r="B289">
            <v>4628.5</v>
          </cell>
          <cell r="C289">
            <v>221.4</v>
          </cell>
          <cell r="D289"/>
          <cell r="E289"/>
          <cell r="F289">
            <v>221.4</v>
          </cell>
        </row>
        <row r="290">
          <cell r="A290">
            <v>3397</v>
          </cell>
          <cell r="B290">
            <v>4628.6000000000004</v>
          </cell>
          <cell r="C290">
            <v>221.9</v>
          </cell>
          <cell r="D290"/>
          <cell r="E290"/>
          <cell r="F290">
            <v>221.9</v>
          </cell>
        </row>
        <row r="291">
          <cell r="A291">
            <v>3419.2</v>
          </cell>
          <cell r="B291">
            <v>4628.7</v>
          </cell>
          <cell r="C291">
            <v>222.5</v>
          </cell>
          <cell r="D291"/>
          <cell r="E291"/>
          <cell r="F291">
            <v>222.5</v>
          </cell>
        </row>
        <row r="292">
          <cell r="A292">
            <v>3441.5</v>
          </cell>
          <cell r="B292">
            <v>4628.8</v>
          </cell>
          <cell r="C292">
            <v>223.1</v>
          </cell>
          <cell r="D292"/>
          <cell r="E292"/>
          <cell r="F292">
            <v>223.1</v>
          </cell>
        </row>
        <row r="293">
          <cell r="A293">
            <v>3463.8</v>
          </cell>
          <cell r="B293">
            <v>4628.9000000000005</v>
          </cell>
          <cell r="C293">
            <v>223.7</v>
          </cell>
          <cell r="D293"/>
          <cell r="E293"/>
          <cell r="F293">
            <v>223.7</v>
          </cell>
        </row>
        <row r="294">
          <cell r="A294">
            <v>3486.2</v>
          </cell>
          <cell r="B294">
            <v>4629.0000000000009</v>
          </cell>
          <cell r="C294">
            <v>224.3</v>
          </cell>
          <cell r="D294"/>
          <cell r="E294"/>
          <cell r="F294">
            <v>224.3</v>
          </cell>
        </row>
        <row r="295">
          <cell r="A295">
            <v>3508.7</v>
          </cell>
          <cell r="B295">
            <v>4629.1000000000013</v>
          </cell>
          <cell r="C295">
            <v>225.3</v>
          </cell>
          <cell r="D295"/>
          <cell r="E295"/>
          <cell r="F295">
            <v>225.3</v>
          </cell>
        </row>
        <row r="296">
          <cell r="A296">
            <v>3531.3</v>
          </cell>
          <cell r="B296">
            <v>4629.2000000000016</v>
          </cell>
          <cell r="C296">
            <v>226.3</v>
          </cell>
          <cell r="D296"/>
          <cell r="E296"/>
          <cell r="F296">
            <v>226.3</v>
          </cell>
        </row>
        <row r="297">
          <cell r="A297">
            <v>3554</v>
          </cell>
          <cell r="B297">
            <v>4629.300000000002</v>
          </cell>
          <cell r="C297">
            <v>227.3</v>
          </cell>
          <cell r="D297"/>
          <cell r="E297"/>
          <cell r="F297">
            <v>227.3</v>
          </cell>
        </row>
        <row r="298">
          <cell r="A298">
            <v>3576.7</v>
          </cell>
          <cell r="B298">
            <v>4629.4000000000024</v>
          </cell>
          <cell r="C298">
            <v>228.3</v>
          </cell>
          <cell r="D298"/>
          <cell r="E298"/>
          <cell r="F298">
            <v>228.3</v>
          </cell>
        </row>
        <row r="299">
          <cell r="A299">
            <v>3599.6</v>
          </cell>
          <cell r="B299">
            <v>4629.5000000000027</v>
          </cell>
          <cell r="C299">
            <v>229.3</v>
          </cell>
          <cell r="D299"/>
          <cell r="E299"/>
          <cell r="F299">
            <v>229.3</v>
          </cell>
        </row>
        <row r="300">
          <cell r="A300">
            <v>3622.6</v>
          </cell>
          <cell r="B300">
            <v>4629.6000000000031</v>
          </cell>
          <cell r="C300">
            <v>230.3</v>
          </cell>
          <cell r="D300"/>
          <cell r="E300"/>
          <cell r="F300">
            <v>230.3</v>
          </cell>
        </row>
        <row r="301">
          <cell r="A301">
            <v>3645.7</v>
          </cell>
          <cell r="B301">
            <v>4629.7000000000035</v>
          </cell>
          <cell r="C301">
            <v>231.3</v>
          </cell>
          <cell r="D301"/>
          <cell r="E301"/>
          <cell r="F301">
            <v>231.3</v>
          </cell>
        </row>
        <row r="302">
          <cell r="A302">
            <v>3668.9</v>
          </cell>
          <cell r="B302">
            <v>4629.8000000000038</v>
          </cell>
          <cell r="C302">
            <v>232.3</v>
          </cell>
          <cell r="D302"/>
          <cell r="E302"/>
          <cell r="F302">
            <v>232.3</v>
          </cell>
        </row>
        <row r="303">
          <cell r="A303">
            <v>3692.1</v>
          </cell>
          <cell r="B303">
            <v>4629.9000000000042</v>
          </cell>
          <cell r="C303">
            <v>233.3</v>
          </cell>
          <cell r="D303"/>
          <cell r="E303"/>
          <cell r="F303">
            <v>233.3</v>
          </cell>
        </row>
        <row r="304">
          <cell r="A304">
            <v>3715.5</v>
          </cell>
          <cell r="B304">
            <v>4630.0000000000045</v>
          </cell>
          <cell r="C304">
            <v>234.3</v>
          </cell>
          <cell r="D304"/>
          <cell r="E304"/>
          <cell r="F304">
            <v>234.3</v>
          </cell>
        </row>
        <row r="305">
          <cell r="A305">
            <v>3739</v>
          </cell>
          <cell r="B305">
            <v>4630.1000000000049</v>
          </cell>
          <cell r="C305">
            <v>235</v>
          </cell>
          <cell r="D305"/>
          <cell r="E305"/>
          <cell r="F305">
            <v>235</v>
          </cell>
        </row>
        <row r="306">
          <cell r="A306">
            <v>3762.5</v>
          </cell>
          <cell r="B306">
            <v>4630.2</v>
          </cell>
          <cell r="C306">
            <v>235.6</v>
          </cell>
          <cell r="D306"/>
          <cell r="E306"/>
          <cell r="F306">
            <v>235.6</v>
          </cell>
        </row>
        <row r="307">
          <cell r="A307">
            <v>3786.1</v>
          </cell>
          <cell r="B307">
            <v>4630.3</v>
          </cell>
          <cell r="C307">
            <v>236.3</v>
          </cell>
          <cell r="D307"/>
          <cell r="E307"/>
          <cell r="F307">
            <v>236.3</v>
          </cell>
        </row>
        <row r="308">
          <cell r="A308">
            <v>3809.8</v>
          </cell>
          <cell r="B308">
            <v>4630.3999999999996</v>
          </cell>
          <cell r="C308">
            <v>236.9</v>
          </cell>
          <cell r="D308"/>
          <cell r="E308"/>
          <cell r="F308">
            <v>236.9</v>
          </cell>
        </row>
        <row r="309">
          <cell r="A309">
            <v>3833.5</v>
          </cell>
          <cell r="B309">
            <v>4630.5</v>
          </cell>
          <cell r="C309">
            <v>237.6</v>
          </cell>
          <cell r="D309"/>
          <cell r="E309"/>
          <cell r="F309">
            <v>237.6</v>
          </cell>
        </row>
        <row r="310">
          <cell r="A310">
            <v>3857.3</v>
          </cell>
          <cell r="B310">
            <v>4630.6000000000004</v>
          </cell>
          <cell r="C310">
            <v>238.2</v>
          </cell>
          <cell r="D310"/>
          <cell r="E310"/>
          <cell r="F310">
            <v>238.2</v>
          </cell>
        </row>
        <row r="311">
          <cell r="A311">
            <v>3881.2</v>
          </cell>
          <cell r="B311">
            <v>4630.7</v>
          </cell>
          <cell r="C311">
            <v>238.9</v>
          </cell>
          <cell r="D311"/>
          <cell r="E311"/>
          <cell r="F311">
            <v>238.9</v>
          </cell>
        </row>
        <row r="312">
          <cell r="A312">
            <v>3905.1</v>
          </cell>
          <cell r="B312">
            <v>4630.8</v>
          </cell>
          <cell r="C312">
            <v>239.5</v>
          </cell>
          <cell r="D312"/>
          <cell r="E312"/>
          <cell r="F312">
            <v>239.5</v>
          </cell>
        </row>
        <row r="313">
          <cell r="A313">
            <v>3929.1</v>
          </cell>
          <cell r="B313">
            <v>4630.8999999999996</v>
          </cell>
          <cell r="C313">
            <v>240.2</v>
          </cell>
          <cell r="D313"/>
          <cell r="E313"/>
          <cell r="F313">
            <v>240.2</v>
          </cell>
        </row>
        <row r="314">
          <cell r="A314">
            <v>3953.1</v>
          </cell>
          <cell r="B314">
            <v>4631</v>
          </cell>
          <cell r="C314">
            <v>240.8</v>
          </cell>
          <cell r="D314"/>
          <cell r="E314"/>
          <cell r="F314">
            <v>240.8</v>
          </cell>
        </row>
        <row r="315">
          <cell r="A315">
            <v>3977.2</v>
          </cell>
          <cell r="B315">
            <v>4631.1000000000004</v>
          </cell>
          <cell r="C315">
            <v>241.8</v>
          </cell>
          <cell r="D315"/>
          <cell r="E315"/>
          <cell r="F315">
            <v>241.8</v>
          </cell>
        </row>
        <row r="316">
          <cell r="A316">
            <v>4001.5</v>
          </cell>
          <cell r="B316">
            <v>4631.2</v>
          </cell>
          <cell r="C316">
            <v>242.8</v>
          </cell>
          <cell r="D316"/>
          <cell r="E316"/>
          <cell r="F316">
            <v>242.8</v>
          </cell>
        </row>
        <row r="317">
          <cell r="A317">
            <v>4025.8</v>
          </cell>
          <cell r="B317">
            <v>4631.3</v>
          </cell>
          <cell r="C317">
            <v>243.8</v>
          </cell>
          <cell r="D317"/>
          <cell r="E317"/>
          <cell r="F317">
            <v>243.8</v>
          </cell>
        </row>
        <row r="318">
          <cell r="A318">
            <v>4050.2</v>
          </cell>
          <cell r="B318">
            <v>4631.3999999999996</v>
          </cell>
          <cell r="C318">
            <v>244.7</v>
          </cell>
          <cell r="D318"/>
          <cell r="E318"/>
          <cell r="F318">
            <v>244.7</v>
          </cell>
        </row>
        <row r="319">
          <cell r="A319">
            <v>4074.7</v>
          </cell>
          <cell r="B319">
            <v>4631.5</v>
          </cell>
          <cell r="C319">
            <v>245.7</v>
          </cell>
          <cell r="D319"/>
          <cell r="E319"/>
          <cell r="F319">
            <v>245.7</v>
          </cell>
        </row>
        <row r="320">
          <cell r="A320">
            <v>4099.3999999999996</v>
          </cell>
          <cell r="B320">
            <v>4631.6000000000004</v>
          </cell>
          <cell r="C320">
            <v>246.7</v>
          </cell>
          <cell r="D320"/>
          <cell r="E320"/>
          <cell r="F320">
            <v>246.7</v>
          </cell>
        </row>
        <row r="321">
          <cell r="A321">
            <v>4124.1000000000004</v>
          </cell>
          <cell r="B321">
            <v>4631.7</v>
          </cell>
          <cell r="C321">
            <v>247.7</v>
          </cell>
          <cell r="D321"/>
          <cell r="E321"/>
          <cell r="F321">
            <v>247.7</v>
          </cell>
        </row>
        <row r="322">
          <cell r="A322">
            <v>4148.8999999999996</v>
          </cell>
          <cell r="B322">
            <v>4631.8</v>
          </cell>
          <cell r="C322">
            <v>248.6</v>
          </cell>
          <cell r="D322"/>
          <cell r="E322"/>
          <cell r="F322">
            <v>248.6</v>
          </cell>
        </row>
        <row r="323">
          <cell r="A323">
            <v>4173.8</v>
          </cell>
          <cell r="B323">
            <v>4631.8999999999996</v>
          </cell>
          <cell r="C323">
            <v>249.6</v>
          </cell>
          <cell r="D323"/>
          <cell r="E323"/>
          <cell r="F323">
            <v>249.6</v>
          </cell>
        </row>
        <row r="324">
          <cell r="A324">
            <v>4198.8</v>
          </cell>
          <cell r="B324">
            <v>4632</v>
          </cell>
          <cell r="C324">
            <v>250.6</v>
          </cell>
          <cell r="D324"/>
          <cell r="E324"/>
          <cell r="F324">
            <v>250.6</v>
          </cell>
        </row>
        <row r="325">
          <cell r="A325">
            <v>4223.8999999999996</v>
          </cell>
          <cell r="B325">
            <v>4632.1000000000004</v>
          </cell>
          <cell r="C325">
            <v>251.3</v>
          </cell>
          <cell r="D325"/>
          <cell r="E325"/>
          <cell r="F325">
            <v>251.3</v>
          </cell>
        </row>
        <row r="326">
          <cell r="A326">
            <v>4249.1000000000004</v>
          </cell>
          <cell r="B326">
            <v>4632.2</v>
          </cell>
          <cell r="C326">
            <v>251.9</v>
          </cell>
          <cell r="D326"/>
          <cell r="E326"/>
          <cell r="F326">
            <v>251.9</v>
          </cell>
        </row>
        <row r="327">
          <cell r="A327">
            <v>4274.3</v>
          </cell>
          <cell r="B327">
            <v>4632.3</v>
          </cell>
          <cell r="C327">
            <v>252.6</v>
          </cell>
          <cell r="D327"/>
          <cell r="E327"/>
          <cell r="F327">
            <v>252.6</v>
          </cell>
        </row>
        <row r="328">
          <cell r="A328">
            <v>4299.6000000000004</v>
          </cell>
          <cell r="B328">
            <v>4632.3999999999996</v>
          </cell>
          <cell r="C328">
            <v>253.2</v>
          </cell>
          <cell r="D328"/>
          <cell r="E328"/>
          <cell r="F328">
            <v>253.2</v>
          </cell>
        </row>
        <row r="329">
          <cell r="A329">
            <v>4324.8999999999996</v>
          </cell>
          <cell r="B329">
            <v>4632.5</v>
          </cell>
          <cell r="C329">
            <v>253.9</v>
          </cell>
          <cell r="D329"/>
          <cell r="E329"/>
          <cell r="F329">
            <v>253.9</v>
          </cell>
        </row>
        <row r="330">
          <cell r="A330">
            <v>4350.3999999999996</v>
          </cell>
          <cell r="B330">
            <v>4632.6000000000004</v>
          </cell>
          <cell r="C330">
            <v>254.5</v>
          </cell>
          <cell r="D330"/>
          <cell r="E330"/>
          <cell r="F330">
            <v>254.5</v>
          </cell>
        </row>
        <row r="331">
          <cell r="A331">
            <v>4375.8</v>
          </cell>
          <cell r="B331">
            <v>4632.7</v>
          </cell>
          <cell r="C331">
            <v>255.2</v>
          </cell>
          <cell r="D331"/>
          <cell r="E331"/>
          <cell r="F331">
            <v>255.2</v>
          </cell>
        </row>
        <row r="332">
          <cell r="A332">
            <v>4401.3999999999996</v>
          </cell>
          <cell r="B332">
            <v>4632.8</v>
          </cell>
          <cell r="C332">
            <v>255.8</v>
          </cell>
          <cell r="D332"/>
          <cell r="E332"/>
          <cell r="F332">
            <v>255.8</v>
          </cell>
        </row>
        <row r="333">
          <cell r="A333">
            <v>4427</v>
          </cell>
          <cell r="B333">
            <v>4632.8999999999996</v>
          </cell>
          <cell r="C333">
            <v>256.5</v>
          </cell>
          <cell r="D333"/>
          <cell r="E333"/>
          <cell r="F333">
            <v>256.5</v>
          </cell>
        </row>
        <row r="334">
          <cell r="A334">
            <v>4452.7</v>
          </cell>
          <cell r="B334">
            <v>4633</v>
          </cell>
          <cell r="C334">
            <v>257.10000000000002</v>
          </cell>
          <cell r="D334"/>
          <cell r="E334"/>
          <cell r="F334">
            <v>257.10000000000002</v>
          </cell>
        </row>
        <row r="335">
          <cell r="A335">
            <v>4478.3999999999996</v>
          </cell>
          <cell r="B335">
            <v>4633.1000000000004</v>
          </cell>
          <cell r="C335">
            <v>258</v>
          </cell>
          <cell r="D335"/>
          <cell r="E335"/>
          <cell r="F335">
            <v>258</v>
          </cell>
        </row>
        <row r="336">
          <cell r="A336">
            <v>4504.3</v>
          </cell>
          <cell r="B336">
            <v>4633.2</v>
          </cell>
          <cell r="C336">
            <v>259</v>
          </cell>
          <cell r="D336"/>
          <cell r="E336"/>
          <cell r="F336">
            <v>259</v>
          </cell>
        </row>
        <row r="337">
          <cell r="A337">
            <v>4530.2</v>
          </cell>
          <cell r="B337">
            <v>4633.3</v>
          </cell>
          <cell r="C337">
            <v>259.89999999999998</v>
          </cell>
          <cell r="D337"/>
          <cell r="E337"/>
          <cell r="F337">
            <v>259.89999999999998</v>
          </cell>
        </row>
        <row r="338">
          <cell r="A338">
            <v>4556.3</v>
          </cell>
          <cell r="B338">
            <v>4633.3999999999996</v>
          </cell>
          <cell r="C338">
            <v>260.8</v>
          </cell>
          <cell r="D338"/>
          <cell r="E338"/>
          <cell r="F338">
            <v>260.8</v>
          </cell>
        </row>
        <row r="339">
          <cell r="A339">
            <v>4582.3999999999996</v>
          </cell>
          <cell r="B339">
            <v>4633.5</v>
          </cell>
          <cell r="C339">
            <v>261.7</v>
          </cell>
          <cell r="D339"/>
          <cell r="E339"/>
          <cell r="F339">
            <v>261.7</v>
          </cell>
        </row>
        <row r="340">
          <cell r="A340">
            <v>4608.6000000000004</v>
          </cell>
          <cell r="B340">
            <v>4633.6000000000004</v>
          </cell>
          <cell r="C340">
            <v>262.7</v>
          </cell>
          <cell r="D340"/>
          <cell r="E340"/>
          <cell r="F340">
            <v>262.7</v>
          </cell>
        </row>
        <row r="341">
          <cell r="A341">
            <v>4634.8999999999996</v>
          </cell>
          <cell r="B341">
            <v>4633.7</v>
          </cell>
          <cell r="C341">
            <v>263.60000000000002</v>
          </cell>
          <cell r="D341"/>
          <cell r="E341"/>
          <cell r="F341">
            <v>263.60000000000002</v>
          </cell>
        </row>
        <row r="342">
          <cell r="A342">
            <v>4661.3</v>
          </cell>
          <cell r="B342">
            <v>4633.8</v>
          </cell>
          <cell r="C342">
            <v>264.5</v>
          </cell>
          <cell r="D342"/>
          <cell r="E342"/>
          <cell r="F342">
            <v>264.5</v>
          </cell>
        </row>
        <row r="343">
          <cell r="A343">
            <v>4687.8</v>
          </cell>
          <cell r="B343">
            <v>4633.8999999999996</v>
          </cell>
          <cell r="C343">
            <v>265.39999999999998</v>
          </cell>
          <cell r="D343"/>
          <cell r="E343"/>
          <cell r="F343">
            <v>265.39999999999998</v>
          </cell>
        </row>
        <row r="344">
          <cell r="A344">
            <v>4714.3999999999996</v>
          </cell>
          <cell r="B344">
            <v>4634</v>
          </cell>
          <cell r="C344">
            <v>266.3</v>
          </cell>
          <cell r="D344"/>
          <cell r="E344"/>
          <cell r="F344">
            <v>266.3</v>
          </cell>
        </row>
        <row r="345">
          <cell r="A345">
            <v>4741.1000000000004</v>
          </cell>
          <cell r="B345">
            <v>4634.1000000000004</v>
          </cell>
          <cell r="C345">
            <v>267</v>
          </cell>
          <cell r="D345"/>
          <cell r="E345"/>
          <cell r="F345">
            <v>267</v>
          </cell>
        </row>
        <row r="346">
          <cell r="A346">
            <v>4767.8</v>
          </cell>
          <cell r="B346">
            <v>4634.2</v>
          </cell>
          <cell r="C346">
            <v>267.60000000000002</v>
          </cell>
          <cell r="D346"/>
          <cell r="E346"/>
          <cell r="F346">
            <v>267.60000000000002</v>
          </cell>
        </row>
        <row r="347">
          <cell r="A347">
            <v>4794.6000000000004</v>
          </cell>
          <cell r="B347">
            <v>4634.3</v>
          </cell>
          <cell r="C347">
            <v>268.2</v>
          </cell>
          <cell r="D347"/>
          <cell r="E347"/>
          <cell r="F347">
            <v>268.2</v>
          </cell>
        </row>
        <row r="348">
          <cell r="A348">
            <v>4821.3999999999996</v>
          </cell>
          <cell r="B348">
            <v>4634.3999999999996</v>
          </cell>
          <cell r="C348">
            <v>268.8</v>
          </cell>
          <cell r="D348"/>
          <cell r="E348"/>
          <cell r="F348">
            <v>268.8</v>
          </cell>
        </row>
        <row r="349">
          <cell r="A349">
            <v>4848.3</v>
          </cell>
          <cell r="B349">
            <v>4634.5</v>
          </cell>
          <cell r="C349">
            <v>269.39999999999998</v>
          </cell>
          <cell r="D349"/>
          <cell r="E349"/>
          <cell r="F349">
            <v>269.39999999999998</v>
          </cell>
        </row>
        <row r="350">
          <cell r="A350">
            <v>4875.3</v>
          </cell>
          <cell r="B350">
            <v>4634.6000000000004</v>
          </cell>
          <cell r="C350">
            <v>270</v>
          </cell>
          <cell r="D350"/>
          <cell r="E350"/>
          <cell r="F350">
            <v>270</v>
          </cell>
        </row>
        <row r="351">
          <cell r="A351">
            <v>4902.3</v>
          </cell>
          <cell r="B351">
            <v>4634.7</v>
          </cell>
          <cell r="C351">
            <v>270.60000000000002</v>
          </cell>
          <cell r="D351"/>
          <cell r="E351"/>
          <cell r="F351">
            <v>270.60000000000002</v>
          </cell>
        </row>
        <row r="352">
          <cell r="A352">
            <v>4929.3999999999996</v>
          </cell>
          <cell r="B352">
            <v>4634.8</v>
          </cell>
          <cell r="C352">
            <v>271.2</v>
          </cell>
          <cell r="D352"/>
          <cell r="E352"/>
          <cell r="F352">
            <v>271.2</v>
          </cell>
        </row>
        <row r="353">
          <cell r="A353">
            <v>4956.6000000000004</v>
          </cell>
          <cell r="B353">
            <v>4634.8999999999996</v>
          </cell>
          <cell r="C353">
            <v>271.8</v>
          </cell>
          <cell r="D353"/>
          <cell r="E353"/>
          <cell r="F353">
            <v>271.8</v>
          </cell>
        </row>
        <row r="354">
          <cell r="A354">
            <v>4983.8</v>
          </cell>
          <cell r="B354">
            <v>4635</v>
          </cell>
          <cell r="C354">
            <v>272.39999999999998</v>
          </cell>
          <cell r="D354"/>
          <cell r="E354"/>
          <cell r="F354">
            <v>272.39999999999998</v>
          </cell>
        </row>
        <row r="355">
          <cell r="A355">
            <v>5011.1000000000004</v>
          </cell>
          <cell r="B355">
            <v>4635.1000000000004</v>
          </cell>
          <cell r="C355">
            <v>273.2</v>
          </cell>
          <cell r="D355"/>
          <cell r="E355"/>
          <cell r="F355">
            <v>273.2</v>
          </cell>
        </row>
        <row r="356">
          <cell r="A356">
            <v>5038.3999999999996</v>
          </cell>
          <cell r="B356">
            <v>4635.2</v>
          </cell>
          <cell r="C356">
            <v>274</v>
          </cell>
          <cell r="D356"/>
          <cell r="E356"/>
          <cell r="F356">
            <v>274</v>
          </cell>
        </row>
        <row r="357">
          <cell r="A357">
            <v>5065.8999999999996</v>
          </cell>
          <cell r="B357">
            <v>4635.3</v>
          </cell>
          <cell r="C357">
            <v>274.89999999999998</v>
          </cell>
          <cell r="D357"/>
          <cell r="E357"/>
          <cell r="F357">
            <v>274.89999999999998</v>
          </cell>
        </row>
        <row r="358">
          <cell r="A358">
            <v>5093.3999999999996</v>
          </cell>
          <cell r="B358">
            <v>4635.3999999999996</v>
          </cell>
          <cell r="C358">
            <v>275.7</v>
          </cell>
          <cell r="D358"/>
          <cell r="E358"/>
          <cell r="F358">
            <v>275.7</v>
          </cell>
        </row>
        <row r="359">
          <cell r="A359">
            <v>5121</v>
          </cell>
          <cell r="B359">
            <v>4635.5</v>
          </cell>
          <cell r="C359">
            <v>276.5</v>
          </cell>
          <cell r="D359"/>
          <cell r="E359"/>
          <cell r="F359">
            <v>276.5</v>
          </cell>
        </row>
        <row r="360">
          <cell r="A360">
            <v>5148.7</v>
          </cell>
          <cell r="B360">
            <v>4635.6000000000004</v>
          </cell>
          <cell r="C360">
            <v>277.3</v>
          </cell>
          <cell r="D360"/>
          <cell r="E360"/>
          <cell r="F360">
            <v>277.3</v>
          </cell>
        </row>
        <row r="361">
          <cell r="A361">
            <v>5176.5</v>
          </cell>
          <cell r="B361">
            <v>4635.7</v>
          </cell>
          <cell r="C361">
            <v>278.10000000000002</v>
          </cell>
          <cell r="D361"/>
          <cell r="E361"/>
          <cell r="F361">
            <v>278.10000000000002</v>
          </cell>
        </row>
        <row r="362">
          <cell r="A362">
            <v>5204.3</v>
          </cell>
          <cell r="B362">
            <v>4635.8</v>
          </cell>
          <cell r="C362">
            <v>278.89999999999998</v>
          </cell>
          <cell r="D362"/>
          <cell r="E362"/>
          <cell r="F362">
            <v>278.89999999999998</v>
          </cell>
        </row>
        <row r="363">
          <cell r="A363">
            <v>5232.3</v>
          </cell>
          <cell r="B363">
            <v>4635.8999999999996</v>
          </cell>
          <cell r="C363">
            <v>279.8</v>
          </cell>
          <cell r="D363"/>
          <cell r="E363"/>
          <cell r="F363">
            <v>279.8</v>
          </cell>
        </row>
        <row r="364">
          <cell r="A364">
            <v>5260.3</v>
          </cell>
          <cell r="B364">
            <v>4636</v>
          </cell>
          <cell r="C364">
            <v>280.60000000000002</v>
          </cell>
          <cell r="D364"/>
          <cell r="E364"/>
          <cell r="F364">
            <v>280.60000000000002</v>
          </cell>
        </row>
        <row r="365">
          <cell r="A365">
            <v>5288.4</v>
          </cell>
          <cell r="B365">
            <v>4636.1000000000004</v>
          </cell>
          <cell r="C365">
            <v>281.2</v>
          </cell>
          <cell r="D365"/>
          <cell r="E365"/>
          <cell r="F365">
            <v>281.2</v>
          </cell>
        </row>
        <row r="366">
          <cell r="A366">
            <v>5316.5</v>
          </cell>
          <cell r="B366">
            <v>4636.2</v>
          </cell>
          <cell r="C366">
            <v>281.7</v>
          </cell>
          <cell r="D366"/>
          <cell r="E366"/>
          <cell r="F366">
            <v>281.7</v>
          </cell>
        </row>
        <row r="367">
          <cell r="A367">
            <v>5344.7</v>
          </cell>
          <cell r="B367">
            <v>4636.3</v>
          </cell>
          <cell r="C367">
            <v>282.3</v>
          </cell>
          <cell r="D367"/>
          <cell r="E367"/>
          <cell r="F367">
            <v>282.3</v>
          </cell>
        </row>
        <row r="368">
          <cell r="A368">
            <v>5373</v>
          </cell>
          <cell r="B368">
            <v>4636.3999999999996</v>
          </cell>
          <cell r="C368">
            <v>282.89999999999998</v>
          </cell>
          <cell r="D368"/>
          <cell r="E368"/>
          <cell r="F368">
            <v>282.89999999999998</v>
          </cell>
        </row>
        <row r="369">
          <cell r="A369">
            <v>5401.3</v>
          </cell>
          <cell r="B369">
            <v>4636.5</v>
          </cell>
          <cell r="C369">
            <v>283.5</v>
          </cell>
          <cell r="D369"/>
          <cell r="E369"/>
          <cell r="F369">
            <v>283.5</v>
          </cell>
        </row>
        <row r="370">
          <cell r="A370">
            <v>5429.7</v>
          </cell>
          <cell r="B370">
            <v>4636.6000000000004</v>
          </cell>
          <cell r="C370">
            <v>284</v>
          </cell>
          <cell r="D370"/>
          <cell r="E370"/>
          <cell r="F370">
            <v>284</v>
          </cell>
        </row>
        <row r="371">
          <cell r="A371">
            <v>5458.1</v>
          </cell>
          <cell r="B371">
            <v>4636.7</v>
          </cell>
          <cell r="C371">
            <v>284.60000000000002</v>
          </cell>
          <cell r="D371"/>
          <cell r="E371"/>
          <cell r="F371">
            <v>284.60000000000002</v>
          </cell>
        </row>
        <row r="372">
          <cell r="A372">
            <v>5486.6</v>
          </cell>
          <cell r="B372">
            <v>4636.8</v>
          </cell>
          <cell r="C372">
            <v>285.2</v>
          </cell>
          <cell r="D372"/>
          <cell r="E372"/>
          <cell r="F372">
            <v>285.2</v>
          </cell>
        </row>
        <row r="373">
          <cell r="A373">
            <v>5515.1</v>
          </cell>
          <cell r="B373">
            <v>4636.8999999999996</v>
          </cell>
          <cell r="C373">
            <v>285.8</v>
          </cell>
          <cell r="D373"/>
          <cell r="E373"/>
          <cell r="F373">
            <v>285.8</v>
          </cell>
        </row>
        <row r="374">
          <cell r="A374">
            <v>5543.7</v>
          </cell>
          <cell r="B374">
            <v>4637</v>
          </cell>
          <cell r="C374">
            <v>286.3</v>
          </cell>
          <cell r="D374"/>
          <cell r="E374"/>
          <cell r="F374">
            <v>286.3</v>
          </cell>
        </row>
        <row r="375">
          <cell r="A375">
            <v>5572.4</v>
          </cell>
          <cell r="B375">
            <v>4637.1000000000004</v>
          </cell>
          <cell r="C375">
            <v>287.3</v>
          </cell>
          <cell r="D375"/>
          <cell r="E375"/>
          <cell r="F375">
            <v>287.3</v>
          </cell>
        </row>
        <row r="376">
          <cell r="A376">
            <v>5601.2</v>
          </cell>
          <cell r="B376">
            <v>4637.2</v>
          </cell>
          <cell r="C376">
            <v>288.2</v>
          </cell>
          <cell r="D376"/>
          <cell r="E376"/>
          <cell r="F376">
            <v>288.2</v>
          </cell>
        </row>
        <row r="377">
          <cell r="A377">
            <v>5630.1</v>
          </cell>
          <cell r="B377">
            <v>4637.3</v>
          </cell>
          <cell r="C377">
            <v>289.10000000000002</v>
          </cell>
          <cell r="D377"/>
          <cell r="E377"/>
          <cell r="F377">
            <v>289.10000000000002</v>
          </cell>
        </row>
        <row r="378">
          <cell r="A378">
            <v>5659</v>
          </cell>
          <cell r="B378">
            <v>4637.3999999999996</v>
          </cell>
          <cell r="C378">
            <v>290.10000000000002</v>
          </cell>
          <cell r="D378"/>
          <cell r="E378"/>
          <cell r="F378">
            <v>290.10000000000002</v>
          </cell>
        </row>
        <row r="379">
          <cell r="A379">
            <v>5688.1</v>
          </cell>
          <cell r="B379">
            <v>4637.5</v>
          </cell>
          <cell r="C379">
            <v>291</v>
          </cell>
          <cell r="D379"/>
          <cell r="E379"/>
          <cell r="F379">
            <v>291</v>
          </cell>
        </row>
        <row r="380">
          <cell r="A380">
            <v>5717.2</v>
          </cell>
          <cell r="B380">
            <v>4637.6000000000004</v>
          </cell>
          <cell r="C380">
            <v>291.89999999999998</v>
          </cell>
          <cell r="D380"/>
          <cell r="E380"/>
          <cell r="F380">
            <v>291.89999999999998</v>
          </cell>
        </row>
        <row r="381">
          <cell r="A381">
            <v>5746.5</v>
          </cell>
          <cell r="B381">
            <v>4637.7</v>
          </cell>
          <cell r="C381">
            <v>292.89999999999998</v>
          </cell>
          <cell r="D381"/>
          <cell r="E381"/>
          <cell r="F381">
            <v>292.89999999999998</v>
          </cell>
        </row>
        <row r="382">
          <cell r="A382">
            <v>5775.8</v>
          </cell>
          <cell r="B382">
            <v>4637.8</v>
          </cell>
          <cell r="C382">
            <v>293.8</v>
          </cell>
          <cell r="D382"/>
          <cell r="E382"/>
          <cell r="F382">
            <v>293.8</v>
          </cell>
        </row>
        <row r="383">
          <cell r="A383">
            <v>5805.2</v>
          </cell>
          <cell r="B383">
            <v>4637.8999999999996</v>
          </cell>
          <cell r="C383">
            <v>294.8</v>
          </cell>
          <cell r="D383"/>
          <cell r="E383"/>
          <cell r="F383">
            <v>294.8</v>
          </cell>
        </row>
        <row r="384">
          <cell r="A384">
            <v>5834.7</v>
          </cell>
          <cell r="B384">
            <v>4638</v>
          </cell>
          <cell r="C384">
            <v>295.7</v>
          </cell>
          <cell r="D384"/>
          <cell r="E384"/>
          <cell r="F384">
            <v>295.7</v>
          </cell>
        </row>
        <row r="385">
          <cell r="A385">
            <v>5864.3</v>
          </cell>
          <cell r="B385">
            <v>4638.1000000000004</v>
          </cell>
          <cell r="C385">
            <v>296.2</v>
          </cell>
          <cell r="D385"/>
          <cell r="E385"/>
          <cell r="F385">
            <v>296.2</v>
          </cell>
        </row>
        <row r="386">
          <cell r="A386">
            <v>5894</v>
          </cell>
          <cell r="B386">
            <v>4638.2</v>
          </cell>
          <cell r="C386">
            <v>296.7</v>
          </cell>
          <cell r="D386"/>
          <cell r="E386"/>
          <cell r="F386">
            <v>296.7</v>
          </cell>
        </row>
        <row r="387">
          <cell r="A387">
            <v>5923.7</v>
          </cell>
          <cell r="B387">
            <v>4638.3</v>
          </cell>
          <cell r="C387">
            <v>297.2</v>
          </cell>
          <cell r="D387"/>
          <cell r="E387"/>
          <cell r="F387">
            <v>297.2</v>
          </cell>
        </row>
        <row r="388">
          <cell r="A388">
            <v>5953.4</v>
          </cell>
          <cell r="B388">
            <v>4638.3999999999996</v>
          </cell>
          <cell r="C388">
            <v>297.8</v>
          </cell>
          <cell r="D388"/>
          <cell r="E388"/>
          <cell r="F388">
            <v>297.8</v>
          </cell>
        </row>
        <row r="389">
          <cell r="A389">
            <v>5983.2</v>
          </cell>
          <cell r="B389">
            <v>4638.5</v>
          </cell>
          <cell r="C389">
            <v>298.3</v>
          </cell>
          <cell r="D389"/>
          <cell r="E389"/>
          <cell r="F389">
            <v>298.3</v>
          </cell>
        </row>
        <row r="390">
          <cell r="A390">
            <v>6013.1</v>
          </cell>
          <cell r="B390">
            <v>4638.6000000000004</v>
          </cell>
          <cell r="C390">
            <v>298.8</v>
          </cell>
          <cell r="D390"/>
          <cell r="E390"/>
          <cell r="F390">
            <v>298.8</v>
          </cell>
        </row>
        <row r="391">
          <cell r="A391">
            <v>6043</v>
          </cell>
          <cell r="B391">
            <v>4638.7</v>
          </cell>
          <cell r="C391">
            <v>299.3</v>
          </cell>
          <cell r="D391"/>
          <cell r="E391"/>
          <cell r="F391">
            <v>299.3</v>
          </cell>
        </row>
        <row r="392">
          <cell r="A392">
            <v>6073</v>
          </cell>
          <cell r="B392">
            <v>4638.8</v>
          </cell>
          <cell r="C392">
            <v>299.8</v>
          </cell>
          <cell r="D392"/>
          <cell r="E392"/>
          <cell r="F392">
            <v>299.8</v>
          </cell>
        </row>
        <row r="393">
          <cell r="A393">
            <v>6103</v>
          </cell>
          <cell r="B393">
            <v>4638.8999999999996</v>
          </cell>
          <cell r="C393">
            <v>300.39999999999998</v>
          </cell>
          <cell r="D393"/>
          <cell r="E393"/>
          <cell r="F393">
            <v>300.39999999999998</v>
          </cell>
        </row>
        <row r="394">
          <cell r="A394">
            <v>6133</v>
          </cell>
          <cell r="B394">
            <v>4639</v>
          </cell>
          <cell r="C394">
            <v>300.89999999999998</v>
          </cell>
          <cell r="D394"/>
          <cell r="E394"/>
          <cell r="F394">
            <v>300.89999999999998</v>
          </cell>
        </row>
        <row r="395">
          <cell r="A395">
            <v>6163.2</v>
          </cell>
          <cell r="B395">
            <v>4639.1000000000004</v>
          </cell>
          <cell r="C395">
            <v>301.7</v>
          </cell>
          <cell r="D395"/>
          <cell r="E395"/>
          <cell r="F395">
            <v>301.7</v>
          </cell>
        </row>
        <row r="396">
          <cell r="A396">
            <v>6193.4</v>
          </cell>
          <cell r="B396">
            <v>4639.2</v>
          </cell>
          <cell r="C396">
            <v>302.39999999999998</v>
          </cell>
          <cell r="D396"/>
          <cell r="E396"/>
          <cell r="F396">
            <v>302.39999999999998</v>
          </cell>
        </row>
        <row r="397">
          <cell r="A397">
            <v>6223.6</v>
          </cell>
          <cell r="B397">
            <v>4639.3</v>
          </cell>
          <cell r="C397">
            <v>303.2</v>
          </cell>
          <cell r="D397"/>
          <cell r="E397"/>
          <cell r="F397">
            <v>303.2</v>
          </cell>
        </row>
        <row r="398">
          <cell r="A398">
            <v>6254</v>
          </cell>
          <cell r="B398">
            <v>4639.3999999999996</v>
          </cell>
          <cell r="C398">
            <v>304</v>
          </cell>
          <cell r="D398"/>
          <cell r="E398"/>
          <cell r="F398">
            <v>304</v>
          </cell>
        </row>
        <row r="399">
          <cell r="A399">
            <v>6284.4</v>
          </cell>
          <cell r="B399">
            <v>4639.5</v>
          </cell>
          <cell r="C399">
            <v>304.7</v>
          </cell>
          <cell r="D399"/>
          <cell r="E399"/>
          <cell r="F399">
            <v>304.7</v>
          </cell>
        </row>
        <row r="400">
          <cell r="A400">
            <v>6315</v>
          </cell>
          <cell r="B400">
            <v>4639.6000000000004</v>
          </cell>
          <cell r="C400">
            <v>305.5</v>
          </cell>
          <cell r="D400"/>
          <cell r="E400"/>
          <cell r="F400">
            <v>305.5</v>
          </cell>
        </row>
        <row r="401">
          <cell r="A401">
            <v>6345.5</v>
          </cell>
          <cell r="B401">
            <v>4639.7</v>
          </cell>
          <cell r="C401">
            <v>306.3</v>
          </cell>
          <cell r="D401"/>
          <cell r="E401"/>
          <cell r="F401">
            <v>306.3</v>
          </cell>
        </row>
        <row r="402">
          <cell r="A402">
            <v>6376.2</v>
          </cell>
          <cell r="B402">
            <v>4639.8</v>
          </cell>
          <cell r="C402">
            <v>307.10000000000002</v>
          </cell>
          <cell r="D402"/>
          <cell r="E402"/>
          <cell r="F402">
            <v>307.10000000000002</v>
          </cell>
        </row>
        <row r="403">
          <cell r="A403">
            <v>6407</v>
          </cell>
          <cell r="B403">
            <v>4639.8999999999996</v>
          </cell>
          <cell r="C403">
            <v>307.8</v>
          </cell>
          <cell r="D403"/>
          <cell r="E403"/>
          <cell r="F403">
            <v>307.8</v>
          </cell>
        </row>
        <row r="404">
          <cell r="A404">
            <v>6437.8</v>
          </cell>
          <cell r="B404">
            <v>4640</v>
          </cell>
          <cell r="C404">
            <v>308.60000000000002</v>
          </cell>
          <cell r="D404"/>
          <cell r="E404"/>
          <cell r="F404">
            <v>308.60000000000002</v>
          </cell>
        </row>
        <row r="405">
          <cell r="A405">
            <v>6468.7</v>
          </cell>
          <cell r="B405">
            <v>4640.1000000000004</v>
          </cell>
          <cell r="C405">
            <v>309</v>
          </cell>
          <cell r="D405"/>
          <cell r="E405"/>
          <cell r="F405">
            <v>309</v>
          </cell>
        </row>
        <row r="406">
          <cell r="A406">
            <v>6499.6</v>
          </cell>
          <cell r="B406">
            <v>4640.2</v>
          </cell>
          <cell r="C406">
            <v>309.3</v>
          </cell>
          <cell r="D406"/>
          <cell r="E406"/>
          <cell r="F406">
            <v>309.3</v>
          </cell>
        </row>
        <row r="407">
          <cell r="A407">
            <v>6530.5</v>
          </cell>
          <cell r="B407">
            <v>4640.3</v>
          </cell>
          <cell r="C407">
            <v>309.7</v>
          </cell>
          <cell r="D407"/>
          <cell r="E407"/>
          <cell r="F407">
            <v>309.7</v>
          </cell>
        </row>
        <row r="408">
          <cell r="A408">
            <v>6561.5</v>
          </cell>
          <cell r="B408">
            <v>4640.3999999999996</v>
          </cell>
          <cell r="C408">
            <v>310</v>
          </cell>
          <cell r="D408"/>
          <cell r="E408"/>
          <cell r="F408">
            <v>310</v>
          </cell>
        </row>
        <row r="409">
          <cell r="A409">
            <v>6592.5</v>
          </cell>
          <cell r="B409">
            <v>4640.5</v>
          </cell>
          <cell r="C409">
            <v>310.39999999999998</v>
          </cell>
          <cell r="D409"/>
          <cell r="E409"/>
          <cell r="F409">
            <v>310.39999999999998</v>
          </cell>
        </row>
        <row r="410">
          <cell r="A410">
            <v>6623.6</v>
          </cell>
          <cell r="B410">
            <v>4640.6000000000004</v>
          </cell>
          <cell r="C410">
            <v>310.8</v>
          </cell>
          <cell r="D410"/>
          <cell r="E410"/>
          <cell r="F410">
            <v>310.8</v>
          </cell>
        </row>
        <row r="411">
          <cell r="A411">
            <v>6654.7</v>
          </cell>
          <cell r="B411">
            <v>4640.7</v>
          </cell>
          <cell r="C411">
            <v>311.10000000000002</v>
          </cell>
          <cell r="D411"/>
          <cell r="E411"/>
          <cell r="F411">
            <v>311.10000000000002</v>
          </cell>
        </row>
        <row r="412">
          <cell r="A412">
            <v>6685.8</v>
          </cell>
          <cell r="B412">
            <v>4640.8</v>
          </cell>
          <cell r="C412">
            <v>311.5</v>
          </cell>
          <cell r="D412"/>
          <cell r="E412"/>
          <cell r="F412">
            <v>311.5</v>
          </cell>
        </row>
        <row r="413">
          <cell r="A413">
            <v>6717</v>
          </cell>
          <cell r="B413">
            <v>4640.8999999999996</v>
          </cell>
          <cell r="C413">
            <v>311.8</v>
          </cell>
          <cell r="D413"/>
          <cell r="E413"/>
          <cell r="F413">
            <v>311.8</v>
          </cell>
        </row>
        <row r="414">
          <cell r="A414">
            <v>6748.2</v>
          </cell>
          <cell r="B414">
            <v>4641</v>
          </cell>
          <cell r="C414">
            <v>312.2</v>
          </cell>
          <cell r="D414"/>
          <cell r="E414"/>
          <cell r="F414">
            <v>312.2</v>
          </cell>
        </row>
        <row r="415">
          <cell r="A415">
            <v>6779.4</v>
          </cell>
          <cell r="B415">
            <v>4641.1000000000004</v>
          </cell>
          <cell r="C415">
            <v>312.60000000000002</v>
          </cell>
          <cell r="D415"/>
          <cell r="E415"/>
          <cell r="F415">
            <v>312.60000000000002</v>
          </cell>
        </row>
        <row r="416">
          <cell r="A416">
            <v>6810.7</v>
          </cell>
          <cell r="B416">
            <v>4641.2</v>
          </cell>
          <cell r="C416">
            <v>313</v>
          </cell>
          <cell r="D416"/>
          <cell r="E416"/>
          <cell r="F416">
            <v>313</v>
          </cell>
        </row>
        <row r="417">
          <cell r="A417">
            <v>6842</v>
          </cell>
          <cell r="B417">
            <v>4641.3</v>
          </cell>
          <cell r="C417">
            <v>313.39999999999998</v>
          </cell>
          <cell r="D417"/>
          <cell r="E417"/>
          <cell r="F417">
            <v>313.39999999999998</v>
          </cell>
        </row>
        <row r="418">
          <cell r="A418">
            <v>6873.4</v>
          </cell>
          <cell r="B418">
            <v>4641.3999999999996</v>
          </cell>
          <cell r="C418">
            <v>313.89999999999998</v>
          </cell>
          <cell r="D418"/>
          <cell r="E418"/>
          <cell r="F418">
            <v>313.89999999999998</v>
          </cell>
        </row>
        <row r="419">
          <cell r="A419">
            <v>6904.8</v>
          </cell>
          <cell r="B419">
            <v>4641.5</v>
          </cell>
          <cell r="C419">
            <v>314.3</v>
          </cell>
          <cell r="D419"/>
          <cell r="E419"/>
          <cell r="F419">
            <v>314.3</v>
          </cell>
        </row>
        <row r="420">
          <cell r="A420">
            <v>6936.2</v>
          </cell>
          <cell r="B420">
            <v>4641.6000000000004</v>
          </cell>
          <cell r="C420">
            <v>314.7</v>
          </cell>
          <cell r="D420"/>
          <cell r="E420"/>
          <cell r="F420">
            <v>314.7</v>
          </cell>
        </row>
        <row r="421">
          <cell r="A421">
            <v>6967.7</v>
          </cell>
          <cell r="B421">
            <v>4641.7</v>
          </cell>
          <cell r="C421">
            <v>315.10000000000002</v>
          </cell>
          <cell r="D421"/>
          <cell r="E421"/>
          <cell r="F421">
            <v>315.10000000000002</v>
          </cell>
        </row>
        <row r="422">
          <cell r="A422">
            <v>6999.3</v>
          </cell>
          <cell r="B422">
            <v>4641.8</v>
          </cell>
          <cell r="C422">
            <v>315.5</v>
          </cell>
          <cell r="D422"/>
          <cell r="E422"/>
          <cell r="F422">
            <v>315.5</v>
          </cell>
        </row>
        <row r="423">
          <cell r="A423">
            <v>7030.8</v>
          </cell>
          <cell r="B423">
            <v>4641.8999999999996</v>
          </cell>
          <cell r="C423">
            <v>315.89999999999998</v>
          </cell>
          <cell r="D423"/>
          <cell r="E423"/>
          <cell r="F423">
            <v>315.89999999999998</v>
          </cell>
        </row>
        <row r="424">
          <cell r="A424">
            <v>7062.4</v>
          </cell>
          <cell r="B424">
            <v>4642</v>
          </cell>
          <cell r="C424">
            <v>316.3</v>
          </cell>
          <cell r="D424"/>
          <cell r="E424"/>
          <cell r="F424">
            <v>316.3</v>
          </cell>
        </row>
        <row r="425">
          <cell r="A425">
            <v>7094.1</v>
          </cell>
          <cell r="B425">
            <v>4642.1000000000004</v>
          </cell>
          <cell r="C425">
            <v>316.5</v>
          </cell>
          <cell r="D425"/>
          <cell r="E425"/>
          <cell r="F425">
            <v>316.5</v>
          </cell>
        </row>
        <row r="426">
          <cell r="A426">
            <v>7125.7</v>
          </cell>
          <cell r="B426">
            <v>4642.2</v>
          </cell>
          <cell r="C426">
            <v>316.7</v>
          </cell>
          <cell r="D426"/>
          <cell r="E426"/>
          <cell r="F426">
            <v>316.7</v>
          </cell>
        </row>
        <row r="427">
          <cell r="A427">
            <v>7157.4</v>
          </cell>
          <cell r="B427">
            <v>4642.3</v>
          </cell>
          <cell r="C427">
            <v>316.89999999999998</v>
          </cell>
          <cell r="D427"/>
          <cell r="E427"/>
          <cell r="F427">
            <v>316.89999999999998</v>
          </cell>
        </row>
        <row r="428">
          <cell r="A428">
            <v>7189.1</v>
          </cell>
          <cell r="B428">
            <v>4642.3999999999996</v>
          </cell>
          <cell r="C428">
            <v>317.10000000000002</v>
          </cell>
          <cell r="D428"/>
          <cell r="E428"/>
          <cell r="F428">
            <v>317.10000000000002</v>
          </cell>
        </row>
        <row r="429">
          <cell r="A429">
            <v>7220.8</v>
          </cell>
          <cell r="B429">
            <v>4642.5</v>
          </cell>
          <cell r="C429">
            <v>317.3</v>
          </cell>
          <cell r="D429"/>
          <cell r="E429"/>
          <cell r="F429">
            <v>317.3</v>
          </cell>
        </row>
        <row r="430">
          <cell r="A430">
            <v>7252.6</v>
          </cell>
          <cell r="B430">
            <v>4642.6000000000004</v>
          </cell>
          <cell r="C430">
            <v>317.39999999999998</v>
          </cell>
          <cell r="D430"/>
          <cell r="E430"/>
          <cell r="F430">
            <v>317.39999999999998</v>
          </cell>
        </row>
        <row r="431">
          <cell r="A431">
            <v>7284.3</v>
          </cell>
          <cell r="B431">
            <v>4642.7</v>
          </cell>
          <cell r="C431">
            <v>317.60000000000002</v>
          </cell>
          <cell r="D431"/>
          <cell r="E431"/>
          <cell r="F431">
            <v>317.60000000000002</v>
          </cell>
        </row>
        <row r="432">
          <cell r="A432">
            <v>7316.1</v>
          </cell>
          <cell r="B432">
            <v>4642.8</v>
          </cell>
          <cell r="C432">
            <v>317.8</v>
          </cell>
          <cell r="D432"/>
          <cell r="E432"/>
          <cell r="F432">
            <v>317.8</v>
          </cell>
        </row>
        <row r="433">
          <cell r="A433">
            <v>7347.9</v>
          </cell>
          <cell r="B433">
            <v>4642.8999999999996</v>
          </cell>
          <cell r="C433">
            <v>318</v>
          </cell>
          <cell r="D433"/>
          <cell r="E433"/>
          <cell r="F433">
            <v>318</v>
          </cell>
        </row>
        <row r="434">
          <cell r="A434">
            <v>7379.7</v>
          </cell>
          <cell r="B434">
            <v>4643</v>
          </cell>
          <cell r="C434">
            <v>318.2</v>
          </cell>
          <cell r="D434"/>
          <cell r="E434"/>
          <cell r="F434">
            <v>318.2</v>
          </cell>
        </row>
        <row r="435">
          <cell r="A435">
            <v>7411.5</v>
          </cell>
          <cell r="B435">
            <v>4643.1000000000004</v>
          </cell>
          <cell r="C435">
            <v>318.39999999999998</v>
          </cell>
          <cell r="D435"/>
          <cell r="E435"/>
          <cell r="F435">
            <v>318.39999999999998</v>
          </cell>
        </row>
        <row r="436">
          <cell r="A436">
            <v>7443.4</v>
          </cell>
          <cell r="B436">
            <v>4643.2</v>
          </cell>
          <cell r="C436">
            <v>318.60000000000002</v>
          </cell>
          <cell r="D436"/>
          <cell r="E436"/>
          <cell r="F436">
            <v>318.60000000000002</v>
          </cell>
        </row>
        <row r="437">
          <cell r="A437">
            <v>7475.2</v>
          </cell>
          <cell r="B437">
            <v>4643.3</v>
          </cell>
          <cell r="C437">
            <v>318.8</v>
          </cell>
          <cell r="D437"/>
          <cell r="E437"/>
          <cell r="F437">
            <v>318.8</v>
          </cell>
        </row>
        <row r="438">
          <cell r="A438">
            <v>7507.1</v>
          </cell>
          <cell r="B438">
            <v>4643.3999999999996</v>
          </cell>
          <cell r="C438">
            <v>319</v>
          </cell>
          <cell r="D438"/>
          <cell r="E438"/>
          <cell r="F438">
            <v>319</v>
          </cell>
        </row>
        <row r="439">
          <cell r="A439">
            <v>7539.1</v>
          </cell>
          <cell r="B439">
            <v>4643.5</v>
          </cell>
          <cell r="C439">
            <v>319.3</v>
          </cell>
          <cell r="D439"/>
          <cell r="E439"/>
          <cell r="F439">
            <v>319.3</v>
          </cell>
        </row>
        <row r="440">
          <cell r="A440">
            <v>7571</v>
          </cell>
          <cell r="B440">
            <v>4643.6000000000004</v>
          </cell>
          <cell r="C440">
            <v>319.5</v>
          </cell>
          <cell r="D440"/>
          <cell r="E440"/>
          <cell r="F440">
            <v>319.5</v>
          </cell>
        </row>
        <row r="441">
          <cell r="A441">
            <v>7603</v>
          </cell>
          <cell r="B441">
            <v>4643.7</v>
          </cell>
          <cell r="C441">
            <v>319.7</v>
          </cell>
          <cell r="D441"/>
          <cell r="E441"/>
          <cell r="F441">
            <v>319.7</v>
          </cell>
        </row>
        <row r="442">
          <cell r="A442">
            <v>7634.9</v>
          </cell>
          <cell r="B442">
            <v>4643.8</v>
          </cell>
          <cell r="C442">
            <v>319.89999999999998</v>
          </cell>
          <cell r="D442"/>
          <cell r="E442"/>
          <cell r="F442">
            <v>319.89999999999998</v>
          </cell>
        </row>
        <row r="443">
          <cell r="A443">
            <v>7666.9</v>
          </cell>
          <cell r="B443">
            <v>4643.8999999999996</v>
          </cell>
          <cell r="C443">
            <v>320.10000000000002</v>
          </cell>
          <cell r="D443"/>
          <cell r="E443"/>
          <cell r="F443">
            <v>320.10000000000002</v>
          </cell>
        </row>
        <row r="444">
          <cell r="A444">
            <v>7699</v>
          </cell>
          <cell r="B444">
            <v>4644</v>
          </cell>
          <cell r="C444">
            <v>320.39999999999998</v>
          </cell>
          <cell r="D444"/>
          <cell r="E444"/>
          <cell r="F444">
            <v>320.39999999999998</v>
          </cell>
        </row>
        <row r="445">
          <cell r="A445">
            <v>7731</v>
          </cell>
          <cell r="B445">
            <v>4644.1000000000004</v>
          </cell>
          <cell r="C445">
            <v>320.5</v>
          </cell>
          <cell r="D445"/>
          <cell r="E445"/>
          <cell r="F445">
            <v>320.5</v>
          </cell>
        </row>
        <row r="446">
          <cell r="A446">
            <v>7763.1</v>
          </cell>
          <cell r="B446">
            <v>4644.2</v>
          </cell>
          <cell r="C446">
            <v>320.7</v>
          </cell>
          <cell r="D446"/>
          <cell r="E446"/>
          <cell r="F446">
            <v>320.7</v>
          </cell>
        </row>
        <row r="447">
          <cell r="A447">
            <v>7795.1</v>
          </cell>
          <cell r="B447">
            <v>4644.3</v>
          </cell>
          <cell r="C447">
            <v>320.8</v>
          </cell>
          <cell r="D447"/>
          <cell r="E447"/>
          <cell r="F447">
            <v>320.8</v>
          </cell>
        </row>
        <row r="448">
          <cell r="A448">
            <v>7827.2</v>
          </cell>
          <cell r="B448">
            <v>4644.3999999999996</v>
          </cell>
          <cell r="C448">
            <v>321</v>
          </cell>
          <cell r="D448"/>
          <cell r="E448"/>
          <cell r="F448">
            <v>321</v>
          </cell>
        </row>
        <row r="449">
          <cell r="A449">
            <v>7859.3</v>
          </cell>
          <cell r="B449">
            <v>4644.5</v>
          </cell>
          <cell r="C449">
            <v>321.10000000000002</v>
          </cell>
          <cell r="D449"/>
          <cell r="E449"/>
          <cell r="F449">
            <v>321.10000000000002</v>
          </cell>
        </row>
        <row r="450">
          <cell r="A450">
            <v>7891.5</v>
          </cell>
          <cell r="B450">
            <v>4644.6000000000004</v>
          </cell>
          <cell r="C450">
            <v>321.3</v>
          </cell>
          <cell r="D450"/>
          <cell r="E450"/>
          <cell r="F450">
            <v>321.3</v>
          </cell>
        </row>
        <row r="451">
          <cell r="A451">
            <v>7923.6</v>
          </cell>
          <cell r="B451">
            <v>4644.7</v>
          </cell>
          <cell r="C451">
            <v>321.5</v>
          </cell>
          <cell r="D451"/>
          <cell r="E451"/>
          <cell r="F451">
            <v>321.5</v>
          </cell>
        </row>
        <row r="452">
          <cell r="A452">
            <v>7955.8</v>
          </cell>
          <cell r="B452">
            <v>4644.8</v>
          </cell>
          <cell r="C452">
            <v>321.60000000000002</v>
          </cell>
          <cell r="D452"/>
          <cell r="E452"/>
          <cell r="F452">
            <v>321.60000000000002</v>
          </cell>
        </row>
        <row r="453">
          <cell r="A453">
            <v>7987.9</v>
          </cell>
          <cell r="B453">
            <v>4644.8999999999996</v>
          </cell>
          <cell r="C453">
            <v>321.8</v>
          </cell>
          <cell r="D453"/>
          <cell r="E453"/>
          <cell r="F453">
            <v>321.8</v>
          </cell>
        </row>
        <row r="454">
          <cell r="A454">
            <v>8020.1</v>
          </cell>
          <cell r="B454">
            <v>4645</v>
          </cell>
          <cell r="C454">
            <v>321.89999999999998</v>
          </cell>
          <cell r="D454"/>
          <cell r="E454"/>
          <cell r="F454">
            <v>321.89999999999998</v>
          </cell>
        </row>
        <row r="455">
          <cell r="A455">
            <v>8052.3</v>
          </cell>
          <cell r="B455">
            <v>4645.1000000000004</v>
          </cell>
          <cell r="C455">
            <v>322.10000000000002</v>
          </cell>
          <cell r="D455"/>
          <cell r="E455"/>
          <cell r="F455">
            <v>322.10000000000002</v>
          </cell>
        </row>
        <row r="456">
          <cell r="A456">
            <v>8084.5</v>
          </cell>
          <cell r="B456">
            <v>4645.2</v>
          </cell>
          <cell r="C456">
            <v>322.2</v>
          </cell>
          <cell r="D456"/>
          <cell r="E456"/>
          <cell r="F456">
            <v>322.2</v>
          </cell>
        </row>
        <row r="457">
          <cell r="A457">
            <v>8116.8</v>
          </cell>
          <cell r="B457">
            <v>4645.3</v>
          </cell>
          <cell r="C457">
            <v>322.39999999999998</v>
          </cell>
          <cell r="D457"/>
          <cell r="E457"/>
          <cell r="F457">
            <v>322.39999999999998</v>
          </cell>
        </row>
        <row r="458">
          <cell r="A458">
            <v>8149</v>
          </cell>
          <cell r="B458">
            <v>4645.3999999999996</v>
          </cell>
          <cell r="C458">
            <v>322.60000000000002</v>
          </cell>
          <cell r="D458"/>
          <cell r="E458"/>
          <cell r="F458">
            <v>322.60000000000002</v>
          </cell>
        </row>
        <row r="459">
          <cell r="A459">
            <v>8181.3</v>
          </cell>
          <cell r="B459">
            <v>4645.5</v>
          </cell>
          <cell r="C459">
            <v>322.7</v>
          </cell>
          <cell r="D459"/>
          <cell r="E459"/>
          <cell r="F459">
            <v>322.7</v>
          </cell>
        </row>
        <row r="460">
          <cell r="A460">
            <v>8213.5</v>
          </cell>
          <cell r="B460">
            <v>4645.6000000000004</v>
          </cell>
          <cell r="C460">
            <v>322.89999999999998</v>
          </cell>
          <cell r="D460"/>
          <cell r="E460"/>
          <cell r="F460">
            <v>322.89999999999998</v>
          </cell>
        </row>
        <row r="461">
          <cell r="A461">
            <v>8245.7999999999993</v>
          </cell>
          <cell r="B461">
            <v>4645.7</v>
          </cell>
          <cell r="C461">
            <v>323</v>
          </cell>
          <cell r="D461"/>
          <cell r="E461"/>
          <cell r="F461">
            <v>323</v>
          </cell>
        </row>
        <row r="462">
          <cell r="A462">
            <v>8278.2000000000007</v>
          </cell>
          <cell r="B462">
            <v>4645.8</v>
          </cell>
          <cell r="C462">
            <v>323.2</v>
          </cell>
          <cell r="D462"/>
          <cell r="E462"/>
          <cell r="F462">
            <v>323.2</v>
          </cell>
        </row>
        <row r="463">
          <cell r="A463">
            <v>8310.5</v>
          </cell>
          <cell r="B463">
            <v>4645.8999999999996</v>
          </cell>
          <cell r="C463">
            <v>323.3</v>
          </cell>
          <cell r="D463"/>
          <cell r="E463"/>
          <cell r="F463">
            <v>323.3</v>
          </cell>
        </row>
        <row r="464">
          <cell r="A464">
            <v>8342.7999999999993</v>
          </cell>
          <cell r="B464">
            <v>4646</v>
          </cell>
          <cell r="C464">
            <v>323.5</v>
          </cell>
          <cell r="D464"/>
          <cell r="E464"/>
          <cell r="F464">
            <v>323.5</v>
          </cell>
        </row>
        <row r="465">
          <cell r="A465">
            <v>8375.2000000000007</v>
          </cell>
          <cell r="B465">
            <v>4646.1000000000004</v>
          </cell>
          <cell r="C465">
            <v>323.7</v>
          </cell>
          <cell r="D465"/>
          <cell r="E465"/>
          <cell r="F465">
            <v>323.7</v>
          </cell>
        </row>
        <row r="466">
          <cell r="A466">
            <v>8407.5</v>
          </cell>
          <cell r="B466">
            <v>4646.2</v>
          </cell>
          <cell r="C466">
            <v>323.8</v>
          </cell>
          <cell r="D466"/>
          <cell r="E466"/>
          <cell r="F466">
            <v>323.8</v>
          </cell>
        </row>
        <row r="467">
          <cell r="A467">
            <v>8439.9</v>
          </cell>
          <cell r="B467">
            <v>4646.3</v>
          </cell>
          <cell r="C467">
            <v>324</v>
          </cell>
          <cell r="D467"/>
          <cell r="E467"/>
          <cell r="F467">
            <v>324</v>
          </cell>
        </row>
        <row r="468">
          <cell r="A468">
            <v>8472.2999999999993</v>
          </cell>
          <cell r="B468">
            <v>4646.3999999999996</v>
          </cell>
          <cell r="C468">
            <v>324.10000000000002</v>
          </cell>
          <cell r="D468"/>
          <cell r="E468"/>
          <cell r="F468">
            <v>324.10000000000002</v>
          </cell>
        </row>
        <row r="469">
          <cell r="A469">
            <v>8504.7999999999993</v>
          </cell>
          <cell r="B469">
            <v>4646.5</v>
          </cell>
          <cell r="C469">
            <v>324.3</v>
          </cell>
          <cell r="D469"/>
          <cell r="E469"/>
          <cell r="F469">
            <v>324.3</v>
          </cell>
        </row>
        <row r="470">
          <cell r="A470">
            <v>8537.2000000000007</v>
          </cell>
          <cell r="B470">
            <v>4646.6000000000004</v>
          </cell>
          <cell r="C470">
            <v>324.39999999999998</v>
          </cell>
          <cell r="D470"/>
          <cell r="E470"/>
          <cell r="F470">
            <v>324.39999999999998</v>
          </cell>
        </row>
        <row r="471">
          <cell r="A471">
            <v>8569.7000000000007</v>
          </cell>
          <cell r="B471">
            <v>4646.7</v>
          </cell>
          <cell r="C471">
            <v>324.60000000000002</v>
          </cell>
          <cell r="D471"/>
          <cell r="E471"/>
          <cell r="F471">
            <v>324.60000000000002</v>
          </cell>
        </row>
        <row r="472">
          <cell r="A472">
            <v>8602.1</v>
          </cell>
          <cell r="B472">
            <v>4646.8</v>
          </cell>
          <cell r="C472">
            <v>324.8</v>
          </cell>
          <cell r="D472"/>
          <cell r="E472"/>
          <cell r="F472">
            <v>324.8</v>
          </cell>
        </row>
        <row r="473">
          <cell r="A473">
            <v>8634.6</v>
          </cell>
          <cell r="B473">
            <v>4646.8999999999996</v>
          </cell>
          <cell r="C473">
            <v>324.89999999999998</v>
          </cell>
          <cell r="D473"/>
          <cell r="E473"/>
          <cell r="F473">
            <v>324.89999999999998</v>
          </cell>
        </row>
        <row r="474">
          <cell r="A474">
            <v>8667.1</v>
          </cell>
          <cell r="B474">
            <v>4647</v>
          </cell>
          <cell r="C474">
            <v>325.10000000000002</v>
          </cell>
          <cell r="D474"/>
          <cell r="E474"/>
          <cell r="F474">
            <v>325.10000000000002</v>
          </cell>
        </row>
        <row r="475">
          <cell r="A475">
            <v>8699.6</v>
          </cell>
          <cell r="B475">
            <v>4647.1000000000004</v>
          </cell>
          <cell r="C475">
            <v>325.2</v>
          </cell>
          <cell r="D475"/>
          <cell r="E475"/>
          <cell r="F475">
            <v>325.2</v>
          </cell>
        </row>
        <row r="476">
          <cell r="A476">
            <v>8732.2000000000007</v>
          </cell>
          <cell r="B476">
            <v>4647.2</v>
          </cell>
          <cell r="C476">
            <v>325.39999999999998</v>
          </cell>
          <cell r="D476"/>
          <cell r="E476"/>
          <cell r="F476">
            <v>325.39999999999998</v>
          </cell>
        </row>
        <row r="477">
          <cell r="A477">
            <v>8764.7000000000007</v>
          </cell>
          <cell r="B477">
            <v>4647.3</v>
          </cell>
          <cell r="C477">
            <v>325.60000000000002</v>
          </cell>
          <cell r="D477"/>
          <cell r="E477"/>
          <cell r="F477">
            <v>325.60000000000002</v>
          </cell>
        </row>
        <row r="478">
          <cell r="A478">
            <v>8797.2999999999993</v>
          </cell>
          <cell r="B478">
            <v>4647.3999999999996</v>
          </cell>
          <cell r="C478">
            <v>325.7</v>
          </cell>
          <cell r="D478"/>
          <cell r="E478"/>
          <cell r="F478">
            <v>325.7</v>
          </cell>
        </row>
        <row r="479">
          <cell r="A479">
            <v>8829.9</v>
          </cell>
          <cell r="B479">
            <v>4647.5</v>
          </cell>
          <cell r="C479">
            <v>325.89999999999998</v>
          </cell>
          <cell r="D479"/>
          <cell r="E479"/>
          <cell r="F479">
            <v>325.89999999999998</v>
          </cell>
        </row>
        <row r="480">
          <cell r="A480">
            <v>8862.4</v>
          </cell>
          <cell r="B480">
            <v>4647.6000000000004</v>
          </cell>
          <cell r="C480">
            <v>326.10000000000002</v>
          </cell>
          <cell r="D480"/>
          <cell r="E480"/>
          <cell r="F480">
            <v>326.10000000000002</v>
          </cell>
        </row>
        <row r="481">
          <cell r="A481">
            <v>8895.1</v>
          </cell>
          <cell r="B481">
            <v>4647.7</v>
          </cell>
          <cell r="C481">
            <v>326.2</v>
          </cell>
          <cell r="D481"/>
          <cell r="E481"/>
          <cell r="F481">
            <v>326.2</v>
          </cell>
        </row>
        <row r="482">
          <cell r="A482">
            <v>8927.7000000000007</v>
          </cell>
          <cell r="B482">
            <v>4647.8</v>
          </cell>
          <cell r="C482">
            <v>326.39999999999998</v>
          </cell>
          <cell r="D482"/>
          <cell r="E482"/>
          <cell r="F482">
            <v>326.39999999999998</v>
          </cell>
        </row>
        <row r="483">
          <cell r="A483">
            <v>8960.2999999999993</v>
          </cell>
          <cell r="B483">
            <v>4647.8999999999996</v>
          </cell>
          <cell r="C483">
            <v>326.5</v>
          </cell>
          <cell r="D483"/>
          <cell r="E483"/>
          <cell r="F483">
            <v>326.5</v>
          </cell>
        </row>
        <row r="484">
          <cell r="A484">
            <v>8993</v>
          </cell>
          <cell r="B484">
            <v>4648</v>
          </cell>
          <cell r="C484">
            <v>326.7</v>
          </cell>
          <cell r="D484"/>
          <cell r="E484"/>
          <cell r="F484">
            <v>326.7</v>
          </cell>
        </row>
        <row r="485">
          <cell r="A485">
            <v>9025.7000000000007</v>
          </cell>
          <cell r="B485">
            <v>4648.1000000000004</v>
          </cell>
          <cell r="C485">
            <v>326.89999999999998</v>
          </cell>
          <cell r="D485"/>
          <cell r="E485"/>
          <cell r="F485">
            <v>326.89999999999998</v>
          </cell>
        </row>
        <row r="486">
          <cell r="A486">
            <v>9058.4</v>
          </cell>
          <cell r="B486">
            <v>4648.2</v>
          </cell>
          <cell r="C486">
            <v>327</v>
          </cell>
          <cell r="D486"/>
          <cell r="E486"/>
          <cell r="F486">
            <v>327</v>
          </cell>
        </row>
        <row r="487">
          <cell r="A487">
            <v>9091.1</v>
          </cell>
          <cell r="B487">
            <v>4648.3</v>
          </cell>
          <cell r="C487">
            <v>327.2</v>
          </cell>
          <cell r="D487"/>
          <cell r="E487"/>
          <cell r="F487">
            <v>327.2</v>
          </cell>
        </row>
        <row r="488">
          <cell r="A488">
            <v>9123.7999999999993</v>
          </cell>
          <cell r="B488">
            <v>4648.3999999999996</v>
          </cell>
          <cell r="C488">
            <v>327.39999999999998</v>
          </cell>
          <cell r="D488"/>
          <cell r="E488"/>
          <cell r="F488">
            <v>327.39999999999998</v>
          </cell>
        </row>
        <row r="489">
          <cell r="A489">
            <v>9156.6</v>
          </cell>
          <cell r="B489">
            <v>4648.5</v>
          </cell>
          <cell r="C489">
            <v>327.5</v>
          </cell>
          <cell r="D489"/>
          <cell r="E489"/>
          <cell r="F489">
            <v>327.5</v>
          </cell>
        </row>
        <row r="490">
          <cell r="A490">
            <v>9189.2999999999993</v>
          </cell>
          <cell r="B490">
            <v>4648.6000000000004</v>
          </cell>
          <cell r="C490">
            <v>327.7</v>
          </cell>
          <cell r="D490"/>
          <cell r="E490"/>
          <cell r="F490">
            <v>327.7</v>
          </cell>
        </row>
        <row r="491">
          <cell r="A491">
            <v>9222.1</v>
          </cell>
          <cell r="B491">
            <v>4648.7</v>
          </cell>
          <cell r="C491">
            <v>327.8</v>
          </cell>
          <cell r="D491"/>
          <cell r="E491"/>
          <cell r="F491">
            <v>327.8</v>
          </cell>
        </row>
        <row r="492">
          <cell r="A492">
            <v>9254.9</v>
          </cell>
          <cell r="B492">
            <v>4648.8</v>
          </cell>
          <cell r="C492">
            <v>328</v>
          </cell>
          <cell r="D492"/>
          <cell r="E492"/>
          <cell r="F492">
            <v>328</v>
          </cell>
        </row>
        <row r="493">
          <cell r="A493">
            <v>9287.7000000000007</v>
          </cell>
          <cell r="B493">
            <v>4648.8999999999996</v>
          </cell>
          <cell r="C493">
            <v>328.2</v>
          </cell>
          <cell r="D493"/>
          <cell r="E493"/>
          <cell r="F493">
            <v>328.2</v>
          </cell>
        </row>
        <row r="494">
          <cell r="A494">
            <v>9320.5</v>
          </cell>
          <cell r="B494">
            <v>4649</v>
          </cell>
          <cell r="C494">
            <v>328.3</v>
          </cell>
          <cell r="D494"/>
          <cell r="E494"/>
          <cell r="F494">
            <v>328.3</v>
          </cell>
        </row>
        <row r="495">
          <cell r="A495">
            <v>9353.4</v>
          </cell>
          <cell r="B495">
            <v>4649.1000000000004</v>
          </cell>
          <cell r="C495">
            <v>328.5</v>
          </cell>
          <cell r="D495"/>
          <cell r="E495"/>
          <cell r="F495">
            <v>328.5</v>
          </cell>
        </row>
        <row r="496">
          <cell r="A496">
            <v>9386.2000000000007</v>
          </cell>
          <cell r="B496">
            <v>4649.2</v>
          </cell>
          <cell r="C496">
            <v>328.7</v>
          </cell>
          <cell r="D496"/>
          <cell r="E496"/>
          <cell r="F496">
            <v>328.7</v>
          </cell>
        </row>
        <row r="497">
          <cell r="A497">
            <v>9419.1</v>
          </cell>
          <cell r="B497">
            <v>4649.3</v>
          </cell>
          <cell r="C497">
            <v>328.8</v>
          </cell>
          <cell r="D497"/>
          <cell r="E497"/>
          <cell r="F497">
            <v>328.8</v>
          </cell>
        </row>
        <row r="498">
          <cell r="A498">
            <v>9452</v>
          </cell>
          <cell r="B498">
            <v>4649.3999999999996</v>
          </cell>
          <cell r="C498">
            <v>329</v>
          </cell>
          <cell r="D498"/>
          <cell r="E498"/>
          <cell r="F498">
            <v>329</v>
          </cell>
        </row>
        <row r="499">
          <cell r="A499">
            <v>9484.9</v>
          </cell>
          <cell r="B499">
            <v>4649.5</v>
          </cell>
          <cell r="C499">
            <v>329.2</v>
          </cell>
          <cell r="D499"/>
          <cell r="E499"/>
          <cell r="F499">
            <v>329.2</v>
          </cell>
        </row>
        <row r="500">
          <cell r="A500">
            <v>9517.7999999999993</v>
          </cell>
          <cell r="B500">
            <v>4649.6000000000004</v>
          </cell>
          <cell r="C500">
            <v>329.3</v>
          </cell>
          <cell r="D500"/>
          <cell r="E500"/>
          <cell r="F500">
            <v>329.3</v>
          </cell>
        </row>
        <row r="501">
          <cell r="A501">
            <v>9550.7999999999993</v>
          </cell>
          <cell r="B501">
            <v>4649.7</v>
          </cell>
          <cell r="C501">
            <v>329.5</v>
          </cell>
          <cell r="D501"/>
          <cell r="E501"/>
          <cell r="F501">
            <v>329.5</v>
          </cell>
        </row>
        <row r="502">
          <cell r="A502">
            <v>9583.7000000000007</v>
          </cell>
          <cell r="B502">
            <v>4649.8</v>
          </cell>
          <cell r="C502">
            <v>329.6</v>
          </cell>
          <cell r="D502"/>
          <cell r="E502"/>
          <cell r="F502">
            <v>329.6</v>
          </cell>
        </row>
        <row r="503">
          <cell r="A503">
            <v>9616.7000000000007</v>
          </cell>
          <cell r="B503">
            <v>4649.8999999999996</v>
          </cell>
          <cell r="C503">
            <v>329.8</v>
          </cell>
          <cell r="D503"/>
          <cell r="E503"/>
          <cell r="F503">
            <v>329.8</v>
          </cell>
        </row>
        <row r="504">
          <cell r="A504">
            <v>9649.7000000000007</v>
          </cell>
          <cell r="B504">
            <v>4650</v>
          </cell>
          <cell r="C504">
            <v>330</v>
          </cell>
          <cell r="D504"/>
          <cell r="E504"/>
          <cell r="F504">
            <v>330</v>
          </cell>
        </row>
        <row r="505">
          <cell r="A505">
            <v>9682.7000000000007</v>
          </cell>
          <cell r="B505">
            <v>4650.1000000000004</v>
          </cell>
          <cell r="C505">
            <v>330.1</v>
          </cell>
          <cell r="D505"/>
          <cell r="E505"/>
          <cell r="F505">
            <v>330.1</v>
          </cell>
        </row>
        <row r="506">
          <cell r="A506">
            <v>9715.7000000000007</v>
          </cell>
          <cell r="B506">
            <v>4650.2</v>
          </cell>
          <cell r="C506">
            <v>330.3</v>
          </cell>
          <cell r="D506"/>
          <cell r="E506"/>
          <cell r="F506">
            <v>330.3</v>
          </cell>
        </row>
        <row r="507">
          <cell r="A507">
            <v>9748.7000000000007</v>
          </cell>
          <cell r="B507">
            <v>4650.3</v>
          </cell>
          <cell r="C507">
            <v>330.5</v>
          </cell>
          <cell r="D507"/>
          <cell r="E507"/>
          <cell r="F507">
            <v>330.5</v>
          </cell>
        </row>
        <row r="508">
          <cell r="A508">
            <v>9781.7999999999993</v>
          </cell>
          <cell r="B508">
            <v>4650.3999999999996</v>
          </cell>
          <cell r="C508">
            <v>330.6</v>
          </cell>
          <cell r="D508"/>
          <cell r="E508"/>
          <cell r="F508">
            <v>330.6</v>
          </cell>
        </row>
        <row r="509">
          <cell r="A509">
            <v>9814.9</v>
          </cell>
          <cell r="B509">
            <v>4650.5</v>
          </cell>
          <cell r="C509">
            <v>330.8</v>
          </cell>
          <cell r="D509"/>
          <cell r="E509"/>
          <cell r="F509">
            <v>330.8</v>
          </cell>
        </row>
        <row r="510">
          <cell r="A510">
            <v>9848</v>
          </cell>
          <cell r="B510">
            <v>4650.6000000000004</v>
          </cell>
          <cell r="C510">
            <v>331</v>
          </cell>
          <cell r="D510"/>
          <cell r="E510"/>
          <cell r="F510">
            <v>331</v>
          </cell>
        </row>
        <row r="511">
          <cell r="A511">
            <v>9881.1</v>
          </cell>
          <cell r="B511">
            <v>4650.7</v>
          </cell>
          <cell r="C511">
            <v>331.1</v>
          </cell>
          <cell r="D511"/>
          <cell r="E511"/>
          <cell r="F511">
            <v>331.1</v>
          </cell>
        </row>
        <row r="512">
          <cell r="A512">
            <v>9914.2000000000007</v>
          </cell>
          <cell r="B512">
            <v>4650.8</v>
          </cell>
          <cell r="C512">
            <v>331.3</v>
          </cell>
          <cell r="D512"/>
          <cell r="E512"/>
          <cell r="F512">
            <v>331.3</v>
          </cell>
        </row>
        <row r="513">
          <cell r="A513">
            <v>9947.2999999999993</v>
          </cell>
          <cell r="B513">
            <v>4650.8999999999996</v>
          </cell>
          <cell r="C513">
            <v>331.5</v>
          </cell>
          <cell r="D513"/>
          <cell r="E513"/>
          <cell r="F513">
            <v>331.5</v>
          </cell>
        </row>
        <row r="514">
          <cell r="A514">
            <v>9980.5</v>
          </cell>
          <cell r="B514">
            <v>4651</v>
          </cell>
          <cell r="C514">
            <v>331.7</v>
          </cell>
          <cell r="D514"/>
          <cell r="E514"/>
          <cell r="F514">
            <v>331.7</v>
          </cell>
        </row>
        <row r="515">
          <cell r="A515">
            <v>10013.700000000001</v>
          </cell>
          <cell r="B515">
            <v>4651.1000000000004</v>
          </cell>
          <cell r="C515">
            <v>331.8</v>
          </cell>
          <cell r="D515"/>
          <cell r="E515"/>
          <cell r="F515">
            <v>331.8</v>
          </cell>
        </row>
        <row r="516">
          <cell r="A516">
            <v>10046.9</v>
          </cell>
          <cell r="B516">
            <v>4651.2</v>
          </cell>
          <cell r="C516">
            <v>332</v>
          </cell>
          <cell r="D516"/>
          <cell r="E516"/>
          <cell r="F516">
            <v>332</v>
          </cell>
        </row>
        <row r="517">
          <cell r="A517">
            <v>10080.1</v>
          </cell>
          <cell r="B517">
            <v>4651.3</v>
          </cell>
          <cell r="C517">
            <v>332.2</v>
          </cell>
          <cell r="D517"/>
          <cell r="E517"/>
          <cell r="F517">
            <v>332.2</v>
          </cell>
        </row>
        <row r="518">
          <cell r="A518">
            <v>10113.299999999999</v>
          </cell>
          <cell r="B518">
            <v>4651.3999999999996</v>
          </cell>
          <cell r="C518">
            <v>332.3</v>
          </cell>
          <cell r="D518"/>
          <cell r="E518"/>
          <cell r="F518">
            <v>332.3</v>
          </cell>
        </row>
        <row r="519">
          <cell r="A519">
            <v>10146.5</v>
          </cell>
          <cell r="B519">
            <v>4651.5</v>
          </cell>
          <cell r="C519">
            <v>332.5</v>
          </cell>
          <cell r="D519"/>
          <cell r="E519"/>
          <cell r="F519">
            <v>332.5</v>
          </cell>
        </row>
        <row r="520">
          <cell r="A520">
            <v>10179.799999999999</v>
          </cell>
          <cell r="B520">
            <v>4651.6000000000004</v>
          </cell>
          <cell r="C520">
            <v>332.7</v>
          </cell>
          <cell r="D520"/>
          <cell r="E520"/>
          <cell r="F520">
            <v>332.7</v>
          </cell>
        </row>
        <row r="521">
          <cell r="A521">
            <v>10213.1</v>
          </cell>
          <cell r="B521">
            <v>4651.7</v>
          </cell>
          <cell r="C521">
            <v>332.8</v>
          </cell>
          <cell r="D521"/>
          <cell r="E521"/>
          <cell r="F521">
            <v>332.8</v>
          </cell>
        </row>
        <row r="522">
          <cell r="A522">
            <v>10246.4</v>
          </cell>
          <cell r="B522">
            <v>4651.8</v>
          </cell>
          <cell r="C522">
            <v>333</v>
          </cell>
          <cell r="D522"/>
          <cell r="E522"/>
          <cell r="F522">
            <v>333</v>
          </cell>
        </row>
        <row r="523">
          <cell r="A523">
            <v>10279.700000000001</v>
          </cell>
          <cell r="B523">
            <v>4651.8999999999996</v>
          </cell>
          <cell r="C523">
            <v>333.2</v>
          </cell>
          <cell r="D523"/>
          <cell r="E523"/>
          <cell r="F523">
            <v>333.2</v>
          </cell>
        </row>
        <row r="524">
          <cell r="A524">
            <v>10313</v>
          </cell>
          <cell r="B524">
            <v>4652</v>
          </cell>
          <cell r="C524">
            <v>333.4</v>
          </cell>
          <cell r="D524"/>
          <cell r="E524"/>
          <cell r="F524">
            <v>333.4</v>
          </cell>
        </row>
        <row r="525">
          <cell r="A525">
            <v>10346.299999999999</v>
          </cell>
          <cell r="B525">
            <v>4652.1000000000004</v>
          </cell>
          <cell r="C525">
            <v>333.5</v>
          </cell>
          <cell r="D525"/>
          <cell r="E525"/>
          <cell r="F525">
            <v>333.5</v>
          </cell>
        </row>
        <row r="526">
          <cell r="A526">
            <v>10379.700000000001</v>
          </cell>
          <cell r="B526">
            <v>4652.2</v>
          </cell>
          <cell r="C526">
            <v>333.7</v>
          </cell>
          <cell r="D526"/>
          <cell r="E526"/>
          <cell r="F526">
            <v>333.7</v>
          </cell>
        </row>
        <row r="527">
          <cell r="A527">
            <v>10413.1</v>
          </cell>
          <cell r="B527">
            <v>4652.3</v>
          </cell>
          <cell r="C527">
            <v>333.9</v>
          </cell>
          <cell r="D527"/>
          <cell r="E527"/>
          <cell r="F527">
            <v>333.9</v>
          </cell>
        </row>
        <row r="528">
          <cell r="A528">
            <v>10446.5</v>
          </cell>
          <cell r="B528">
            <v>4652.3999999999996</v>
          </cell>
          <cell r="C528">
            <v>334</v>
          </cell>
          <cell r="D528"/>
          <cell r="E528"/>
          <cell r="F528">
            <v>334</v>
          </cell>
        </row>
        <row r="529">
          <cell r="A529">
            <v>10479.9</v>
          </cell>
          <cell r="B529">
            <v>4652.5</v>
          </cell>
          <cell r="C529">
            <v>334.2</v>
          </cell>
          <cell r="D529"/>
          <cell r="E529"/>
          <cell r="F529">
            <v>334.2</v>
          </cell>
        </row>
        <row r="530">
          <cell r="A530">
            <v>10513.3</v>
          </cell>
          <cell r="B530">
            <v>4652.6000000000004</v>
          </cell>
          <cell r="C530">
            <v>334.4</v>
          </cell>
          <cell r="D530"/>
          <cell r="E530"/>
          <cell r="F530">
            <v>334.4</v>
          </cell>
        </row>
        <row r="531">
          <cell r="A531">
            <v>10546.8</v>
          </cell>
          <cell r="B531">
            <v>4652.7</v>
          </cell>
          <cell r="C531">
            <v>334.5</v>
          </cell>
          <cell r="D531"/>
          <cell r="E531"/>
          <cell r="F531">
            <v>334.5</v>
          </cell>
        </row>
        <row r="532">
          <cell r="A532">
            <v>10580.2</v>
          </cell>
          <cell r="B532">
            <v>4652.8</v>
          </cell>
          <cell r="C532">
            <v>334.7</v>
          </cell>
          <cell r="D532"/>
          <cell r="E532"/>
          <cell r="F532">
            <v>334.7</v>
          </cell>
        </row>
        <row r="533">
          <cell r="A533">
            <v>10613.7</v>
          </cell>
          <cell r="B533">
            <v>4652.8999999999996</v>
          </cell>
          <cell r="C533">
            <v>334.9</v>
          </cell>
          <cell r="D533"/>
          <cell r="E533"/>
          <cell r="F533">
            <v>334.9</v>
          </cell>
        </row>
        <row r="534">
          <cell r="A534">
            <v>10647.2</v>
          </cell>
          <cell r="B534">
            <v>4653</v>
          </cell>
          <cell r="C534">
            <v>335.1</v>
          </cell>
          <cell r="D534"/>
          <cell r="E534"/>
          <cell r="F534">
            <v>335.1</v>
          </cell>
        </row>
        <row r="535">
          <cell r="A535">
            <v>10680.7</v>
          </cell>
          <cell r="B535">
            <v>4653.1000000000004</v>
          </cell>
          <cell r="C535">
            <v>335.2</v>
          </cell>
          <cell r="D535"/>
          <cell r="E535"/>
          <cell r="F535">
            <v>335.2</v>
          </cell>
        </row>
        <row r="536">
          <cell r="A536">
            <v>10714.3</v>
          </cell>
          <cell r="B536">
            <v>4653.2</v>
          </cell>
          <cell r="C536">
            <v>335.4</v>
          </cell>
          <cell r="D536"/>
          <cell r="E536"/>
          <cell r="F536">
            <v>335.4</v>
          </cell>
        </row>
        <row r="537">
          <cell r="A537">
            <v>10747.8</v>
          </cell>
          <cell r="B537">
            <v>4653.3</v>
          </cell>
          <cell r="C537">
            <v>335.6</v>
          </cell>
          <cell r="D537"/>
          <cell r="E537"/>
          <cell r="F537">
            <v>335.6</v>
          </cell>
        </row>
        <row r="538">
          <cell r="A538">
            <v>10781.4</v>
          </cell>
          <cell r="B538">
            <v>4653.3999999999996</v>
          </cell>
          <cell r="C538">
            <v>335.7</v>
          </cell>
          <cell r="D538"/>
          <cell r="E538"/>
          <cell r="F538">
            <v>335.7</v>
          </cell>
        </row>
        <row r="539">
          <cell r="A539">
            <v>10815</v>
          </cell>
          <cell r="B539">
            <v>4653.5</v>
          </cell>
          <cell r="C539">
            <v>335.9</v>
          </cell>
          <cell r="D539"/>
          <cell r="E539"/>
          <cell r="F539">
            <v>335.9</v>
          </cell>
        </row>
        <row r="540">
          <cell r="A540">
            <v>10848.6</v>
          </cell>
          <cell r="B540">
            <v>4653.6000000000004</v>
          </cell>
          <cell r="C540">
            <v>336.1</v>
          </cell>
          <cell r="D540"/>
          <cell r="E540"/>
          <cell r="F540">
            <v>336.1</v>
          </cell>
        </row>
        <row r="541">
          <cell r="A541">
            <v>10882.2</v>
          </cell>
          <cell r="B541">
            <v>4653.7</v>
          </cell>
          <cell r="C541">
            <v>336.3</v>
          </cell>
          <cell r="D541"/>
          <cell r="E541"/>
          <cell r="F541">
            <v>336.3</v>
          </cell>
        </row>
        <row r="542">
          <cell r="A542">
            <v>10915.8</v>
          </cell>
          <cell r="B542">
            <v>4653.8</v>
          </cell>
          <cell r="C542">
            <v>336.4</v>
          </cell>
          <cell r="D542"/>
          <cell r="E542"/>
          <cell r="F542">
            <v>336.4</v>
          </cell>
        </row>
        <row r="543">
          <cell r="A543">
            <v>10949.5</v>
          </cell>
          <cell r="B543">
            <v>4653.8999999999996</v>
          </cell>
          <cell r="C543">
            <v>336.6</v>
          </cell>
          <cell r="D543"/>
          <cell r="E543"/>
          <cell r="F543">
            <v>336.6</v>
          </cell>
        </row>
        <row r="544">
          <cell r="A544">
            <v>10983.1</v>
          </cell>
          <cell r="B544">
            <v>4654</v>
          </cell>
          <cell r="C544">
            <v>336.8</v>
          </cell>
          <cell r="D544"/>
          <cell r="E544"/>
          <cell r="F544">
            <v>336.8</v>
          </cell>
        </row>
        <row r="545">
          <cell r="A545">
            <v>11016.8</v>
          </cell>
          <cell r="B545">
            <v>4654.1000000000004</v>
          </cell>
          <cell r="C545">
            <v>336.9</v>
          </cell>
          <cell r="D545"/>
          <cell r="E545"/>
          <cell r="F545">
            <v>336.9</v>
          </cell>
        </row>
        <row r="546">
          <cell r="A546">
            <v>11050.5</v>
          </cell>
          <cell r="B546">
            <v>4654.2</v>
          </cell>
          <cell r="C546">
            <v>337.1</v>
          </cell>
          <cell r="D546"/>
          <cell r="E546"/>
          <cell r="F546">
            <v>337.1</v>
          </cell>
        </row>
        <row r="547">
          <cell r="A547">
            <v>11084.2</v>
          </cell>
          <cell r="B547">
            <v>4654.3</v>
          </cell>
          <cell r="C547">
            <v>337.3</v>
          </cell>
          <cell r="D547"/>
          <cell r="E547"/>
          <cell r="F547">
            <v>337.3</v>
          </cell>
        </row>
        <row r="548">
          <cell r="A548">
            <v>11118</v>
          </cell>
          <cell r="B548">
            <v>4654.3999999999996</v>
          </cell>
          <cell r="C548">
            <v>337.5</v>
          </cell>
          <cell r="D548"/>
          <cell r="E548"/>
          <cell r="F548">
            <v>337.5</v>
          </cell>
        </row>
        <row r="549">
          <cell r="A549">
            <v>11151.7</v>
          </cell>
          <cell r="B549">
            <v>4654.5</v>
          </cell>
          <cell r="C549">
            <v>337.7</v>
          </cell>
          <cell r="D549"/>
          <cell r="E549"/>
          <cell r="F549">
            <v>337.7</v>
          </cell>
        </row>
        <row r="550">
          <cell r="A550">
            <v>11185.5</v>
          </cell>
          <cell r="B550">
            <v>4654.6000000000004</v>
          </cell>
          <cell r="C550">
            <v>337.8</v>
          </cell>
          <cell r="D550"/>
          <cell r="E550"/>
          <cell r="F550">
            <v>337.8</v>
          </cell>
        </row>
        <row r="551">
          <cell r="A551">
            <v>11219.3</v>
          </cell>
          <cell r="B551">
            <v>4654.7</v>
          </cell>
          <cell r="C551">
            <v>338</v>
          </cell>
          <cell r="D551"/>
          <cell r="E551"/>
          <cell r="F551">
            <v>338</v>
          </cell>
        </row>
        <row r="552">
          <cell r="A552">
            <v>11253.1</v>
          </cell>
          <cell r="B552">
            <v>4654.8</v>
          </cell>
          <cell r="C552">
            <v>338.2</v>
          </cell>
          <cell r="D552"/>
          <cell r="E552"/>
          <cell r="F552">
            <v>338.2</v>
          </cell>
        </row>
        <row r="553">
          <cell r="A553">
            <v>11286.9</v>
          </cell>
          <cell r="B553">
            <v>4654.8999999999996</v>
          </cell>
          <cell r="C553">
            <v>338.4</v>
          </cell>
          <cell r="D553"/>
          <cell r="E553"/>
          <cell r="F553">
            <v>338.4</v>
          </cell>
        </row>
        <row r="554">
          <cell r="A554">
            <v>11320.8</v>
          </cell>
          <cell r="B554">
            <v>4655</v>
          </cell>
          <cell r="C554">
            <v>338.5</v>
          </cell>
          <cell r="D554"/>
          <cell r="E554"/>
          <cell r="F554">
            <v>338.5</v>
          </cell>
        </row>
        <row r="555">
          <cell r="A555">
            <v>11354.7</v>
          </cell>
          <cell r="B555">
            <v>4655.1000000000004</v>
          </cell>
          <cell r="C555">
            <v>338.7</v>
          </cell>
          <cell r="D555"/>
          <cell r="E555"/>
          <cell r="F555">
            <v>338.7</v>
          </cell>
        </row>
        <row r="556">
          <cell r="A556">
            <v>11388.5</v>
          </cell>
          <cell r="B556">
            <v>4655.2</v>
          </cell>
          <cell r="C556">
            <v>338.9</v>
          </cell>
          <cell r="D556"/>
          <cell r="E556"/>
          <cell r="F556">
            <v>338.9</v>
          </cell>
        </row>
        <row r="557">
          <cell r="A557">
            <v>11422.4</v>
          </cell>
          <cell r="B557">
            <v>4655.3</v>
          </cell>
          <cell r="C557">
            <v>339.1</v>
          </cell>
          <cell r="D557"/>
          <cell r="E557"/>
          <cell r="F557">
            <v>339.1</v>
          </cell>
        </row>
        <row r="558">
          <cell r="A558">
            <v>11456.4</v>
          </cell>
          <cell r="B558">
            <v>4655.3999999999996</v>
          </cell>
          <cell r="C558">
            <v>339.3</v>
          </cell>
          <cell r="D558"/>
          <cell r="E558"/>
          <cell r="F558">
            <v>339.3</v>
          </cell>
        </row>
        <row r="559">
          <cell r="A559">
            <v>11490.3</v>
          </cell>
          <cell r="B559">
            <v>4655.5</v>
          </cell>
          <cell r="C559">
            <v>339.4</v>
          </cell>
          <cell r="D559"/>
          <cell r="E559"/>
          <cell r="F559">
            <v>339.4</v>
          </cell>
        </row>
        <row r="560">
          <cell r="A560">
            <v>11524.2</v>
          </cell>
          <cell r="B560">
            <v>4655.6000000000004</v>
          </cell>
          <cell r="C560">
            <v>339.6</v>
          </cell>
          <cell r="D560"/>
          <cell r="E560"/>
          <cell r="F560">
            <v>339.6</v>
          </cell>
        </row>
        <row r="561">
          <cell r="A561">
            <v>11558.2</v>
          </cell>
          <cell r="B561">
            <v>4655.7</v>
          </cell>
          <cell r="C561">
            <v>339.8</v>
          </cell>
          <cell r="D561"/>
          <cell r="E561"/>
          <cell r="F561">
            <v>339.8</v>
          </cell>
        </row>
        <row r="562">
          <cell r="A562">
            <v>11592.2</v>
          </cell>
          <cell r="B562">
            <v>4655.8</v>
          </cell>
          <cell r="C562">
            <v>340</v>
          </cell>
          <cell r="D562"/>
          <cell r="E562"/>
          <cell r="F562">
            <v>340</v>
          </cell>
        </row>
        <row r="563">
          <cell r="A563">
            <v>11626.2</v>
          </cell>
          <cell r="B563">
            <v>4655.8999999999996</v>
          </cell>
          <cell r="C563">
            <v>340.1</v>
          </cell>
          <cell r="D563"/>
          <cell r="E563"/>
          <cell r="F563">
            <v>340.1</v>
          </cell>
        </row>
        <row r="564">
          <cell r="A564">
            <v>11660.2</v>
          </cell>
          <cell r="B564">
            <v>4656</v>
          </cell>
          <cell r="C564">
            <v>340.3</v>
          </cell>
          <cell r="D564"/>
          <cell r="E564"/>
          <cell r="F564">
            <v>340.3</v>
          </cell>
        </row>
        <row r="565">
          <cell r="A565">
            <v>11694.3</v>
          </cell>
          <cell r="B565">
            <v>4656.1000000000004</v>
          </cell>
          <cell r="C565">
            <v>340.5</v>
          </cell>
          <cell r="D565"/>
          <cell r="E565"/>
          <cell r="F565">
            <v>340.5</v>
          </cell>
        </row>
        <row r="566">
          <cell r="A566">
            <v>11728.3</v>
          </cell>
          <cell r="B566">
            <v>4656.2</v>
          </cell>
          <cell r="C566">
            <v>340.7</v>
          </cell>
          <cell r="D566"/>
          <cell r="E566"/>
          <cell r="F566">
            <v>340.7</v>
          </cell>
        </row>
        <row r="567">
          <cell r="A567">
            <v>11762.4</v>
          </cell>
          <cell r="B567">
            <v>4656.3</v>
          </cell>
          <cell r="C567">
            <v>340.9</v>
          </cell>
          <cell r="D567"/>
          <cell r="E567"/>
          <cell r="F567">
            <v>340.9</v>
          </cell>
        </row>
        <row r="568">
          <cell r="A568">
            <v>11796.5</v>
          </cell>
          <cell r="B568">
            <v>4656.3999999999996</v>
          </cell>
          <cell r="C568">
            <v>341</v>
          </cell>
          <cell r="D568"/>
          <cell r="E568"/>
          <cell r="F568">
            <v>341</v>
          </cell>
        </row>
        <row r="569">
          <cell r="A569">
            <v>11830.6</v>
          </cell>
          <cell r="B569">
            <v>4656.5</v>
          </cell>
          <cell r="C569">
            <v>341.2</v>
          </cell>
          <cell r="D569"/>
          <cell r="E569"/>
          <cell r="F569">
            <v>341.2</v>
          </cell>
        </row>
        <row r="570">
          <cell r="A570">
            <v>11864.7</v>
          </cell>
          <cell r="B570">
            <v>4656.6000000000004</v>
          </cell>
          <cell r="C570">
            <v>341.4</v>
          </cell>
          <cell r="D570"/>
          <cell r="E570"/>
          <cell r="F570">
            <v>341.4</v>
          </cell>
        </row>
        <row r="571">
          <cell r="A571">
            <v>11898.9</v>
          </cell>
          <cell r="B571">
            <v>4656.7</v>
          </cell>
          <cell r="C571">
            <v>341.6</v>
          </cell>
          <cell r="D571"/>
          <cell r="E571"/>
          <cell r="F571">
            <v>341.6</v>
          </cell>
        </row>
        <row r="572">
          <cell r="A572">
            <v>11933.1</v>
          </cell>
          <cell r="B572">
            <v>4656.8</v>
          </cell>
          <cell r="C572">
            <v>341.7</v>
          </cell>
          <cell r="D572"/>
          <cell r="E572"/>
          <cell r="F572">
            <v>341.7</v>
          </cell>
        </row>
        <row r="573">
          <cell r="A573">
            <v>11967.2</v>
          </cell>
          <cell r="B573">
            <v>4656.8999999999996</v>
          </cell>
          <cell r="C573">
            <v>341.9</v>
          </cell>
          <cell r="D573"/>
          <cell r="E573"/>
          <cell r="F573">
            <v>341.9</v>
          </cell>
        </row>
        <row r="574">
          <cell r="A574">
            <v>12001.4</v>
          </cell>
          <cell r="B574">
            <v>4657</v>
          </cell>
          <cell r="C574">
            <v>342.1</v>
          </cell>
          <cell r="D574"/>
          <cell r="E574"/>
          <cell r="F574">
            <v>342.1</v>
          </cell>
        </row>
        <row r="575">
          <cell r="A575">
            <v>12035.7</v>
          </cell>
          <cell r="B575">
            <v>4657.1000000000004</v>
          </cell>
          <cell r="C575">
            <v>342.3</v>
          </cell>
          <cell r="D575"/>
          <cell r="E575"/>
          <cell r="F575">
            <v>342.3</v>
          </cell>
        </row>
        <row r="576">
          <cell r="A576">
            <v>12069.9</v>
          </cell>
          <cell r="B576">
            <v>4657.2</v>
          </cell>
          <cell r="C576">
            <v>342.5</v>
          </cell>
          <cell r="D576"/>
          <cell r="E576"/>
          <cell r="F576">
            <v>342.5</v>
          </cell>
        </row>
        <row r="577">
          <cell r="A577">
            <v>12104.2</v>
          </cell>
          <cell r="B577">
            <v>4657.3</v>
          </cell>
          <cell r="C577">
            <v>342.7</v>
          </cell>
          <cell r="D577"/>
          <cell r="E577"/>
          <cell r="F577">
            <v>342.7</v>
          </cell>
        </row>
        <row r="578">
          <cell r="A578">
            <v>12138.5</v>
          </cell>
          <cell r="B578">
            <v>4657.3999999999996</v>
          </cell>
          <cell r="C578">
            <v>342.9</v>
          </cell>
          <cell r="D578"/>
          <cell r="E578"/>
          <cell r="F578">
            <v>342.9</v>
          </cell>
        </row>
        <row r="579">
          <cell r="A579">
            <v>12172.8</v>
          </cell>
          <cell r="B579">
            <v>4657.5</v>
          </cell>
          <cell r="C579">
            <v>343.1</v>
          </cell>
          <cell r="D579"/>
          <cell r="E579"/>
          <cell r="F579">
            <v>343.1</v>
          </cell>
        </row>
        <row r="580">
          <cell r="A580">
            <v>12207.1</v>
          </cell>
          <cell r="B580">
            <v>4657.6000000000004</v>
          </cell>
          <cell r="C580">
            <v>343.3</v>
          </cell>
          <cell r="D580"/>
          <cell r="E580"/>
          <cell r="F580">
            <v>343.3</v>
          </cell>
        </row>
        <row r="581">
          <cell r="A581">
            <v>12241.4</v>
          </cell>
          <cell r="B581">
            <v>4657.7000000000007</v>
          </cell>
          <cell r="C581">
            <v>343.4</v>
          </cell>
          <cell r="D581"/>
          <cell r="E581"/>
          <cell r="F581">
            <v>343.4</v>
          </cell>
        </row>
        <row r="582">
          <cell r="A582">
            <v>12275.8</v>
          </cell>
          <cell r="B582">
            <v>4657.8000000000011</v>
          </cell>
          <cell r="C582">
            <v>343.6</v>
          </cell>
          <cell r="D582"/>
          <cell r="E582"/>
          <cell r="F582">
            <v>343.6</v>
          </cell>
        </row>
        <row r="583">
          <cell r="A583">
            <v>12310.1</v>
          </cell>
          <cell r="B583">
            <v>4657.9000000000015</v>
          </cell>
          <cell r="C583">
            <v>343.8</v>
          </cell>
          <cell r="D583"/>
          <cell r="E583"/>
          <cell r="F583">
            <v>343.8</v>
          </cell>
        </row>
        <row r="584">
          <cell r="A584">
            <v>12344.5</v>
          </cell>
          <cell r="B584">
            <v>4658.0000000000018</v>
          </cell>
          <cell r="C584">
            <v>344</v>
          </cell>
          <cell r="D584"/>
          <cell r="E584"/>
          <cell r="F584">
            <v>344</v>
          </cell>
        </row>
        <row r="585">
          <cell r="A585">
            <v>12379</v>
          </cell>
          <cell r="B585">
            <v>4658.1000000000022</v>
          </cell>
          <cell r="C585">
            <v>345.6</v>
          </cell>
          <cell r="D585"/>
          <cell r="E585"/>
          <cell r="F585">
            <v>345.6</v>
          </cell>
        </row>
        <row r="586">
          <cell r="A586">
            <v>12413.6</v>
          </cell>
          <cell r="B586">
            <v>4658.2000000000025</v>
          </cell>
          <cell r="C586">
            <v>347.1</v>
          </cell>
          <cell r="D586"/>
          <cell r="E586"/>
          <cell r="F586">
            <v>347.1</v>
          </cell>
        </row>
        <row r="587">
          <cell r="A587">
            <v>12448.4</v>
          </cell>
          <cell r="B587">
            <v>4658.3000000000029</v>
          </cell>
          <cell r="C587">
            <v>348.7</v>
          </cell>
          <cell r="D587"/>
          <cell r="E587"/>
          <cell r="F587">
            <v>348.7</v>
          </cell>
        </row>
        <row r="588">
          <cell r="A588">
            <v>12483.4</v>
          </cell>
          <cell r="B588">
            <v>4658.4000000000033</v>
          </cell>
          <cell r="C588">
            <v>350.2</v>
          </cell>
          <cell r="D588"/>
          <cell r="E588"/>
          <cell r="F588">
            <v>350.2</v>
          </cell>
        </row>
        <row r="589">
          <cell r="A589">
            <v>12518.5</v>
          </cell>
          <cell r="B589">
            <v>4658.5000000000036</v>
          </cell>
          <cell r="C589">
            <v>351.8</v>
          </cell>
          <cell r="D589"/>
          <cell r="E589"/>
          <cell r="F589">
            <v>351.8</v>
          </cell>
        </row>
        <row r="590">
          <cell r="A590">
            <v>12553.7</v>
          </cell>
          <cell r="B590">
            <v>4658.600000000004</v>
          </cell>
          <cell r="C590">
            <v>353.3</v>
          </cell>
          <cell r="D590"/>
          <cell r="E590"/>
          <cell r="F590">
            <v>353.3</v>
          </cell>
        </row>
        <row r="591">
          <cell r="A591">
            <v>12589.1</v>
          </cell>
          <cell r="B591">
            <v>4658.7000000000044</v>
          </cell>
          <cell r="C591">
            <v>354.9</v>
          </cell>
          <cell r="D591"/>
          <cell r="E591"/>
          <cell r="F591">
            <v>354.9</v>
          </cell>
        </row>
        <row r="592">
          <cell r="A592">
            <v>12624.7</v>
          </cell>
          <cell r="B592">
            <v>4658.8000000000047</v>
          </cell>
          <cell r="C592">
            <v>356.4</v>
          </cell>
          <cell r="D592"/>
          <cell r="E592"/>
          <cell r="F592">
            <v>356.4</v>
          </cell>
        </row>
        <row r="593">
          <cell r="A593">
            <v>12660.4</v>
          </cell>
          <cell r="B593">
            <v>4658.8999999999996</v>
          </cell>
          <cell r="C593">
            <v>358</v>
          </cell>
          <cell r="D593"/>
          <cell r="E593"/>
          <cell r="F593">
            <v>358</v>
          </cell>
        </row>
        <row r="594">
          <cell r="A594">
            <v>12696.3</v>
          </cell>
          <cell r="B594">
            <v>4659</v>
          </cell>
          <cell r="C594">
            <v>359.5</v>
          </cell>
          <cell r="D594"/>
          <cell r="E594"/>
          <cell r="F594">
            <v>359.5</v>
          </cell>
        </row>
        <row r="595">
          <cell r="A595">
            <v>12732.3</v>
          </cell>
          <cell r="B595">
            <v>4659.1000000000004</v>
          </cell>
          <cell r="C595">
            <v>360.2</v>
          </cell>
          <cell r="D595"/>
          <cell r="E595"/>
          <cell r="F595">
            <v>360.2</v>
          </cell>
        </row>
        <row r="596">
          <cell r="A596">
            <v>12768.3</v>
          </cell>
          <cell r="B596">
            <v>4659.2</v>
          </cell>
          <cell r="C596">
            <v>360.8</v>
          </cell>
          <cell r="D596"/>
          <cell r="E596"/>
          <cell r="F596">
            <v>360.8</v>
          </cell>
        </row>
        <row r="597">
          <cell r="A597">
            <v>12804.4</v>
          </cell>
          <cell r="B597">
            <v>4659.3</v>
          </cell>
          <cell r="C597">
            <v>361.4</v>
          </cell>
          <cell r="D597"/>
          <cell r="E597"/>
          <cell r="F597">
            <v>361.4</v>
          </cell>
        </row>
        <row r="598">
          <cell r="A598">
            <v>12840.6</v>
          </cell>
          <cell r="B598">
            <v>4659.3999999999996</v>
          </cell>
          <cell r="C598">
            <v>362.1</v>
          </cell>
          <cell r="D598"/>
          <cell r="E598"/>
          <cell r="F598">
            <v>362.1</v>
          </cell>
        </row>
        <row r="599">
          <cell r="A599">
            <v>12876.8</v>
          </cell>
          <cell r="B599">
            <v>4659.5</v>
          </cell>
          <cell r="C599">
            <v>362.7</v>
          </cell>
          <cell r="D599"/>
          <cell r="E599"/>
          <cell r="F599">
            <v>362.7</v>
          </cell>
        </row>
        <row r="600">
          <cell r="A600">
            <v>12913.1</v>
          </cell>
          <cell r="B600">
            <v>4659.6000000000004</v>
          </cell>
          <cell r="C600">
            <v>363.3</v>
          </cell>
          <cell r="D600"/>
          <cell r="E600"/>
          <cell r="F600">
            <v>363.3</v>
          </cell>
        </row>
        <row r="601">
          <cell r="A601">
            <v>12949.5</v>
          </cell>
          <cell r="B601">
            <v>4659.7</v>
          </cell>
          <cell r="C601">
            <v>364</v>
          </cell>
          <cell r="D601"/>
          <cell r="E601"/>
          <cell r="F601">
            <v>364</v>
          </cell>
        </row>
        <row r="602">
          <cell r="A602">
            <v>12985.9</v>
          </cell>
          <cell r="B602">
            <v>4659.8</v>
          </cell>
          <cell r="C602">
            <v>364.6</v>
          </cell>
          <cell r="D602"/>
          <cell r="E602"/>
          <cell r="F602">
            <v>364.6</v>
          </cell>
        </row>
        <row r="603">
          <cell r="A603">
            <v>13022.4</v>
          </cell>
          <cell r="B603">
            <v>4659.8999999999996</v>
          </cell>
          <cell r="C603">
            <v>365.2</v>
          </cell>
          <cell r="D603"/>
          <cell r="E603"/>
          <cell r="F603">
            <v>365.2</v>
          </cell>
        </row>
        <row r="604">
          <cell r="A604">
            <v>13059</v>
          </cell>
          <cell r="B604">
            <v>4660</v>
          </cell>
          <cell r="C604">
            <v>365.9</v>
          </cell>
          <cell r="D604"/>
          <cell r="E604"/>
          <cell r="F604">
            <v>365.9</v>
          </cell>
        </row>
        <row r="605">
          <cell r="A605">
            <v>13095.6</v>
          </cell>
          <cell r="B605">
            <v>4660.1000000000004</v>
          </cell>
          <cell r="C605">
            <v>366.6</v>
          </cell>
          <cell r="D605"/>
          <cell r="E605"/>
          <cell r="F605">
            <v>366.6</v>
          </cell>
        </row>
        <row r="606">
          <cell r="A606">
            <v>13132.3</v>
          </cell>
          <cell r="B606">
            <v>4660.2</v>
          </cell>
          <cell r="C606">
            <v>367.3</v>
          </cell>
          <cell r="D606"/>
          <cell r="E606"/>
          <cell r="F606">
            <v>367.3</v>
          </cell>
        </row>
        <row r="607">
          <cell r="A607">
            <v>13169.1</v>
          </cell>
          <cell r="B607">
            <v>4660.3</v>
          </cell>
          <cell r="C607">
            <v>368.1</v>
          </cell>
          <cell r="D607"/>
          <cell r="E607"/>
          <cell r="F607">
            <v>368.1</v>
          </cell>
        </row>
        <row r="608">
          <cell r="A608">
            <v>13205.9</v>
          </cell>
          <cell r="B608">
            <v>4660.3999999999996</v>
          </cell>
          <cell r="C608">
            <v>368.8</v>
          </cell>
          <cell r="D608"/>
          <cell r="E608"/>
          <cell r="F608">
            <v>368.8</v>
          </cell>
        </row>
        <row r="609">
          <cell r="A609">
            <v>13242.8</v>
          </cell>
          <cell r="B609">
            <v>4660.5</v>
          </cell>
          <cell r="C609">
            <v>369.6</v>
          </cell>
          <cell r="D609"/>
          <cell r="E609"/>
          <cell r="F609">
            <v>369.6</v>
          </cell>
        </row>
        <row r="610">
          <cell r="A610">
            <v>13279.8</v>
          </cell>
          <cell r="B610">
            <v>4660.6000000000004</v>
          </cell>
          <cell r="C610">
            <v>370.3</v>
          </cell>
          <cell r="D610"/>
          <cell r="E610"/>
          <cell r="F610">
            <v>370.3</v>
          </cell>
        </row>
        <row r="611">
          <cell r="A611">
            <v>13316.9</v>
          </cell>
          <cell r="B611">
            <v>4660.7</v>
          </cell>
          <cell r="C611">
            <v>371</v>
          </cell>
          <cell r="D611"/>
          <cell r="E611"/>
          <cell r="F611">
            <v>371</v>
          </cell>
        </row>
        <row r="612">
          <cell r="A612">
            <v>13354</v>
          </cell>
          <cell r="B612">
            <v>4660.8</v>
          </cell>
          <cell r="C612">
            <v>371.8</v>
          </cell>
          <cell r="D612"/>
          <cell r="E612"/>
          <cell r="F612">
            <v>371.8</v>
          </cell>
        </row>
        <row r="613">
          <cell r="A613">
            <v>13391.2</v>
          </cell>
          <cell r="B613">
            <v>4660.8999999999996</v>
          </cell>
          <cell r="C613">
            <v>372.5</v>
          </cell>
          <cell r="D613"/>
          <cell r="E613"/>
          <cell r="F613">
            <v>372.5</v>
          </cell>
        </row>
        <row r="614">
          <cell r="A614">
            <v>13428.5</v>
          </cell>
          <cell r="B614">
            <v>4661</v>
          </cell>
          <cell r="C614">
            <v>373.2</v>
          </cell>
          <cell r="D614"/>
          <cell r="E614"/>
          <cell r="F614">
            <v>373.2</v>
          </cell>
        </row>
        <row r="615">
          <cell r="A615">
            <v>13465.9</v>
          </cell>
          <cell r="B615">
            <v>4661.1000000000004</v>
          </cell>
          <cell r="C615">
            <v>373.9</v>
          </cell>
          <cell r="D615"/>
          <cell r="E615"/>
          <cell r="F615">
            <v>373.9</v>
          </cell>
        </row>
        <row r="616">
          <cell r="A616">
            <v>13503.3</v>
          </cell>
          <cell r="B616">
            <v>4661.2</v>
          </cell>
          <cell r="C616">
            <v>374.5</v>
          </cell>
          <cell r="D616"/>
          <cell r="E616"/>
          <cell r="F616">
            <v>374.5</v>
          </cell>
        </row>
        <row r="617">
          <cell r="A617">
            <v>13540.8</v>
          </cell>
          <cell r="B617">
            <v>4661.3</v>
          </cell>
          <cell r="C617">
            <v>375.1</v>
          </cell>
          <cell r="D617"/>
          <cell r="E617"/>
          <cell r="F617">
            <v>375.1</v>
          </cell>
        </row>
        <row r="618">
          <cell r="A618">
            <v>13578.3</v>
          </cell>
          <cell r="B618">
            <v>4661.3999999999996</v>
          </cell>
          <cell r="C618">
            <v>375.7</v>
          </cell>
          <cell r="D618"/>
          <cell r="E618"/>
          <cell r="F618">
            <v>375.7</v>
          </cell>
        </row>
        <row r="619">
          <cell r="A619">
            <v>13615.9</v>
          </cell>
          <cell r="B619">
            <v>4661.5</v>
          </cell>
          <cell r="C619">
            <v>376.4</v>
          </cell>
          <cell r="D619"/>
          <cell r="E619"/>
          <cell r="F619">
            <v>376.4</v>
          </cell>
        </row>
        <row r="620">
          <cell r="A620">
            <v>13653.6</v>
          </cell>
          <cell r="B620">
            <v>4661.6000000000004</v>
          </cell>
          <cell r="C620">
            <v>377</v>
          </cell>
          <cell r="D620"/>
          <cell r="E620"/>
          <cell r="F620">
            <v>377</v>
          </cell>
        </row>
        <row r="621">
          <cell r="A621">
            <v>13691.3</v>
          </cell>
          <cell r="B621">
            <v>4661.7</v>
          </cell>
          <cell r="C621">
            <v>377.6</v>
          </cell>
          <cell r="D621"/>
          <cell r="E621"/>
          <cell r="F621">
            <v>377.6</v>
          </cell>
        </row>
        <row r="622">
          <cell r="A622">
            <v>13729.1</v>
          </cell>
          <cell r="B622">
            <v>4661.8</v>
          </cell>
          <cell r="C622">
            <v>378.2</v>
          </cell>
          <cell r="D622"/>
          <cell r="E622"/>
          <cell r="F622">
            <v>378.2</v>
          </cell>
        </row>
        <row r="623">
          <cell r="A623">
            <v>13767</v>
          </cell>
          <cell r="B623">
            <v>4661.8999999999996</v>
          </cell>
          <cell r="C623">
            <v>378.9</v>
          </cell>
          <cell r="D623"/>
          <cell r="E623"/>
          <cell r="F623">
            <v>378.9</v>
          </cell>
        </row>
        <row r="624">
          <cell r="A624">
            <v>13804.9</v>
          </cell>
          <cell r="B624">
            <v>4662</v>
          </cell>
          <cell r="C624">
            <v>379.5</v>
          </cell>
          <cell r="D624"/>
          <cell r="E624"/>
          <cell r="F624">
            <v>379.5</v>
          </cell>
        </row>
        <row r="625">
          <cell r="A625">
            <v>13842.9</v>
          </cell>
          <cell r="B625">
            <v>4662.1000000000004</v>
          </cell>
          <cell r="C625">
            <v>380.7</v>
          </cell>
          <cell r="D625"/>
          <cell r="E625"/>
          <cell r="F625">
            <v>380.7</v>
          </cell>
        </row>
        <row r="626">
          <cell r="A626">
            <v>13881</v>
          </cell>
          <cell r="B626">
            <v>4662.2</v>
          </cell>
          <cell r="C626">
            <v>381.8</v>
          </cell>
          <cell r="D626"/>
          <cell r="E626"/>
          <cell r="F626">
            <v>381.8</v>
          </cell>
        </row>
        <row r="627">
          <cell r="A627">
            <v>13919.3</v>
          </cell>
          <cell r="B627">
            <v>4662.3</v>
          </cell>
          <cell r="C627">
            <v>383</v>
          </cell>
          <cell r="D627"/>
          <cell r="E627"/>
          <cell r="F627">
            <v>383</v>
          </cell>
        </row>
        <row r="628">
          <cell r="A628">
            <v>13957.6</v>
          </cell>
          <cell r="B628">
            <v>4662.3999999999996</v>
          </cell>
          <cell r="C628">
            <v>384.2</v>
          </cell>
          <cell r="D628"/>
          <cell r="E628"/>
          <cell r="F628">
            <v>384.2</v>
          </cell>
        </row>
        <row r="629">
          <cell r="A629">
            <v>13996.1</v>
          </cell>
          <cell r="B629">
            <v>4662.5</v>
          </cell>
          <cell r="C629">
            <v>385.4</v>
          </cell>
          <cell r="D629"/>
          <cell r="E629"/>
          <cell r="F629">
            <v>385.4</v>
          </cell>
        </row>
        <row r="630">
          <cell r="A630">
            <v>14034.7</v>
          </cell>
          <cell r="B630">
            <v>4662.6000000000004</v>
          </cell>
          <cell r="C630">
            <v>386.6</v>
          </cell>
          <cell r="D630"/>
          <cell r="E630"/>
          <cell r="F630">
            <v>386.6</v>
          </cell>
        </row>
        <row r="631">
          <cell r="A631">
            <v>14073.4</v>
          </cell>
          <cell r="B631">
            <v>4662.7</v>
          </cell>
          <cell r="C631">
            <v>387.8</v>
          </cell>
          <cell r="D631"/>
          <cell r="E631"/>
          <cell r="F631">
            <v>387.8</v>
          </cell>
        </row>
        <row r="632">
          <cell r="A632">
            <v>14112.3</v>
          </cell>
          <cell r="B632">
            <v>4662.8</v>
          </cell>
          <cell r="C632">
            <v>388.9</v>
          </cell>
          <cell r="D632"/>
          <cell r="E632"/>
          <cell r="F632">
            <v>388.9</v>
          </cell>
        </row>
        <row r="633">
          <cell r="A633">
            <v>14151.2</v>
          </cell>
          <cell r="B633">
            <v>4662.8999999999996</v>
          </cell>
          <cell r="C633">
            <v>390.1</v>
          </cell>
          <cell r="D633"/>
          <cell r="E633"/>
          <cell r="F633">
            <v>390.1</v>
          </cell>
        </row>
        <row r="634">
          <cell r="A634">
            <v>14190.3</v>
          </cell>
          <cell r="B634">
            <v>4663</v>
          </cell>
          <cell r="C634">
            <v>391.3</v>
          </cell>
          <cell r="D634"/>
          <cell r="E634"/>
          <cell r="F634">
            <v>391.3</v>
          </cell>
        </row>
        <row r="635">
          <cell r="A635">
            <v>14229.5</v>
          </cell>
          <cell r="B635">
            <v>4663.1000000000004</v>
          </cell>
          <cell r="C635">
            <v>391.9</v>
          </cell>
          <cell r="D635"/>
          <cell r="E635"/>
          <cell r="F635">
            <v>391.9</v>
          </cell>
        </row>
        <row r="636">
          <cell r="A636">
            <v>14268.7</v>
          </cell>
          <cell r="B636">
            <v>4663.2</v>
          </cell>
          <cell r="C636">
            <v>392.5</v>
          </cell>
          <cell r="D636"/>
          <cell r="E636"/>
          <cell r="F636">
            <v>392.5</v>
          </cell>
        </row>
        <row r="637">
          <cell r="A637">
            <v>14308</v>
          </cell>
          <cell r="B637">
            <v>4663.3</v>
          </cell>
          <cell r="C637">
            <v>393.2</v>
          </cell>
          <cell r="D637"/>
          <cell r="E637"/>
          <cell r="F637">
            <v>393.2</v>
          </cell>
        </row>
        <row r="638">
          <cell r="A638">
            <v>14347.3</v>
          </cell>
          <cell r="B638">
            <v>4663.3999999999996</v>
          </cell>
          <cell r="C638">
            <v>393.8</v>
          </cell>
          <cell r="D638"/>
          <cell r="E638"/>
          <cell r="F638">
            <v>393.8</v>
          </cell>
        </row>
        <row r="639">
          <cell r="A639">
            <v>14386.7</v>
          </cell>
          <cell r="B639">
            <v>4663.5</v>
          </cell>
          <cell r="C639">
            <v>394.4</v>
          </cell>
          <cell r="D639"/>
          <cell r="E639"/>
          <cell r="F639">
            <v>394.4</v>
          </cell>
        </row>
        <row r="640">
          <cell r="A640">
            <v>14426.2</v>
          </cell>
          <cell r="B640">
            <v>4663.6000000000004</v>
          </cell>
          <cell r="C640">
            <v>395</v>
          </cell>
          <cell r="D640"/>
          <cell r="E640"/>
          <cell r="F640">
            <v>395</v>
          </cell>
        </row>
        <row r="641">
          <cell r="A641">
            <v>14465.7</v>
          </cell>
          <cell r="B641">
            <v>4663.7</v>
          </cell>
          <cell r="C641">
            <v>395.6</v>
          </cell>
          <cell r="D641"/>
          <cell r="E641"/>
          <cell r="F641">
            <v>395.6</v>
          </cell>
        </row>
        <row r="642">
          <cell r="A642">
            <v>14505.3</v>
          </cell>
          <cell r="B642">
            <v>4663.8</v>
          </cell>
          <cell r="C642">
            <v>396.2</v>
          </cell>
          <cell r="D642"/>
          <cell r="E642"/>
          <cell r="F642">
            <v>396.2</v>
          </cell>
        </row>
        <row r="643">
          <cell r="A643">
            <v>14545</v>
          </cell>
          <cell r="B643">
            <v>4663.8999999999996</v>
          </cell>
          <cell r="C643">
            <v>396.8</v>
          </cell>
          <cell r="D643"/>
          <cell r="E643"/>
          <cell r="F643">
            <v>396.8</v>
          </cell>
        </row>
        <row r="644">
          <cell r="A644">
            <v>14584.7</v>
          </cell>
          <cell r="B644">
            <v>4664</v>
          </cell>
          <cell r="C644">
            <v>397.5</v>
          </cell>
          <cell r="D644"/>
          <cell r="E644"/>
          <cell r="F644">
            <v>397.5</v>
          </cell>
        </row>
        <row r="645">
          <cell r="A645">
            <v>14624.5</v>
          </cell>
          <cell r="B645">
            <v>4664.1000000000004</v>
          </cell>
          <cell r="C645">
            <v>398.1</v>
          </cell>
          <cell r="D645"/>
          <cell r="E645"/>
          <cell r="F645">
            <v>398.1</v>
          </cell>
        </row>
        <row r="646">
          <cell r="A646">
            <v>14664.3</v>
          </cell>
          <cell r="B646">
            <v>4664.2</v>
          </cell>
          <cell r="C646">
            <v>398.8</v>
          </cell>
          <cell r="D646"/>
          <cell r="E646"/>
          <cell r="F646">
            <v>398.8</v>
          </cell>
        </row>
        <row r="647">
          <cell r="A647">
            <v>14704.2</v>
          </cell>
          <cell r="B647">
            <v>4664.3</v>
          </cell>
          <cell r="C647">
            <v>399.4</v>
          </cell>
          <cell r="D647"/>
          <cell r="E647"/>
          <cell r="F647">
            <v>399.4</v>
          </cell>
        </row>
        <row r="648">
          <cell r="A648">
            <v>14744.2</v>
          </cell>
          <cell r="B648">
            <v>4664.3999999999996</v>
          </cell>
          <cell r="C648">
            <v>400.1</v>
          </cell>
          <cell r="D648"/>
          <cell r="E648"/>
          <cell r="F648">
            <v>400.1</v>
          </cell>
        </row>
        <row r="649">
          <cell r="A649">
            <v>14784.2</v>
          </cell>
          <cell r="B649">
            <v>4664.5</v>
          </cell>
          <cell r="C649">
            <v>400.8</v>
          </cell>
          <cell r="D649"/>
          <cell r="E649"/>
          <cell r="F649">
            <v>400.8</v>
          </cell>
        </row>
        <row r="650">
          <cell r="A650">
            <v>14824.3</v>
          </cell>
          <cell r="B650">
            <v>4664.6000000000004</v>
          </cell>
          <cell r="C650">
            <v>401.4</v>
          </cell>
          <cell r="D650"/>
          <cell r="E650"/>
          <cell r="F650">
            <v>401.4</v>
          </cell>
        </row>
        <row r="651">
          <cell r="A651">
            <v>14864.5</v>
          </cell>
          <cell r="B651">
            <v>4664.7</v>
          </cell>
          <cell r="C651">
            <v>402.1</v>
          </cell>
          <cell r="D651"/>
          <cell r="E651"/>
          <cell r="F651">
            <v>402.1</v>
          </cell>
        </row>
        <row r="652">
          <cell r="A652">
            <v>14904.8</v>
          </cell>
          <cell r="B652">
            <v>4664.8</v>
          </cell>
          <cell r="C652">
            <v>402.7</v>
          </cell>
          <cell r="D652"/>
          <cell r="E652"/>
          <cell r="F652">
            <v>402.7</v>
          </cell>
        </row>
        <row r="653">
          <cell r="A653">
            <v>14945.1</v>
          </cell>
          <cell r="B653">
            <v>4664.8999999999996</v>
          </cell>
          <cell r="C653">
            <v>403.4</v>
          </cell>
          <cell r="D653"/>
          <cell r="E653"/>
          <cell r="F653">
            <v>403.4</v>
          </cell>
        </row>
        <row r="654">
          <cell r="A654">
            <v>14985.4</v>
          </cell>
          <cell r="B654">
            <v>4665</v>
          </cell>
          <cell r="C654">
            <v>404.1</v>
          </cell>
          <cell r="D654"/>
          <cell r="E654"/>
          <cell r="F654">
            <v>404.1</v>
          </cell>
        </row>
        <row r="655">
          <cell r="A655">
            <v>15025.9</v>
          </cell>
          <cell r="B655">
            <v>4665.1000000000004</v>
          </cell>
          <cell r="C655">
            <v>404.6</v>
          </cell>
          <cell r="D655"/>
          <cell r="E655"/>
          <cell r="F655">
            <v>404.6</v>
          </cell>
        </row>
        <row r="656">
          <cell r="A656">
            <v>15066.4</v>
          </cell>
          <cell r="B656">
            <v>4665.2</v>
          </cell>
          <cell r="C656">
            <v>405.2</v>
          </cell>
          <cell r="D656"/>
          <cell r="E656"/>
          <cell r="F656">
            <v>405.2</v>
          </cell>
        </row>
        <row r="657">
          <cell r="A657">
            <v>15106.9</v>
          </cell>
          <cell r="B657">
            <v>4665.3</v>
          </cell>
          <cell r="C657">
            <v>405.8</v>
          </cell>
          <cell r="D657"/>
          <cell r="E657"/>
          <cell r="F657">
            <v>405.8</v>
          </cell>
        </row>
        <row r="658">
          <cell r="A658">
            <v>15147.5</v>
          </cell>
          <cell r="B658">
            <v>4665.3999999999996</v>
          </cell>
          <cell r="C658">
            <v>406.4</v>
          </cell>
          <cell r="D658"/>
          <cell r="E658"/>
          <cell r="F658">
            <v>406.4</v>
          </cell>
        </row>
        <row r="659">
          <cell r="A659">
            <v>15188.2</v>
          </cell>
          <cell r="B659">
            <v>4665.5</v>
          </cell>
          <cell r="C659">
            <v>407</v>
          </cell>
          <cell r="D659"/>
          <cell r="E659"/>
          <cell r="F659">
            <v>407</v>
          </cell>
        </row>
        <row r="660">
          <cell r="A660">
            <v>15228.9</v>
          </cell>
          <cell r="B660">
            <v>4665.6000000000004</v>
          </cell>
          <cell r="C660">
            <v>407.5</v>
          </cell>
          <cell r="D660"/>
          <cell r="E660"/>
          <cell r="F660">
            <v>407.5</v>
          </cell>
        </row>
        <row r="661">
          <cell r="A661">
            <v>15269.7</v>
          </cell>
          <cell r="B661">
            <v>4665.7</v>
          </cell>
          <cell r="C661">
            <v>408.1</v>
          </cell>
          <cell r="D661"/>
          <cell r="E661"/>
          <cell r="F661">
            <v>408.1</v>
          </cell>
        </row>
        <row r="662">
          <cell r="A662">
            <v>15310.5</v>
          </cell>
          <cell r="B662">
            <v>4665.8</v>
          </cell>
          <cell r="C662">
            <v>408.7</v>
          </cell>
          <cell r="D662"/>
          <cell r="E662"/>
          <cell r="F662">
            <v>408.7</v>
          </cell>
        </row>
        <row r="663">
          <cell r="A663">
            <v>15351.4</v>
          </cell>
          <cell r="B663">
            <v>4665.8999999999996</v>
          </cell>
          <cell r="C663">
            <v>409.3</v>
          </cell>
          <cell r="D663"/>
          <cell r="E663"/>
          <cell r="F663">
            <v>409.3</v>
          </cell>
        </row>
        <row r="664">
          <cell r="A664">
            <v>15392.4</v>
          </cell>
          <cell r="B664">
            <v>4666</v>
          </cell>
          <cell r="C664">
            <v>409.9</v>
          </cell>
          <cell r="D664"/>
          <cell r="E664"/>
          <cell r="F664">
            <v>409.9</v>
          </cell>
        </row>
        <row r="665">
          <cell r="A665">
            <v>15433.4</v>
          </cell>
          <cell r="B665">
            <v>4666.1000000000004</v>
          </cell>
          <cell r="C665">
            <v>410.5</v>
          </cell>
          <cell r="D665"/>
          <cell r="E665"/>
          <cell r="F665">
            <v>410.5</v>
          </cell>
        </row>
        <row r="666">
          <cell r="A666">
            <v>15474.5</v>
          </cell>
          <cell r="B666">
            <v>4666.2</v>
          </cell>
          <cell r="C666">
            <v>411.1</v>
          </cell>
          <cell r="D666"/>
          <cell r="E666"/>
          <cell r="F666">
            <v>411.1</v>
          </cell>
        </row>
        <row r="667">
          <cell r="A667">
            <v>15515.6</v>
          </cell>
          <cell r="B667">
            <v>4666.3</v>
          </cell>
          <cell r="C667">
            <v>411.8</v>
          </cell>
          <cell r="D667"/>
          <cell r="E667"/>
          <cell r="F667">
            <v>411.8</v>
          </cell>
        </row>
        <row r="668">
          <cell r="A668">
            <v>15556.9</v>
          </cell>
          <cell r="B668">
            <v>4666.3999999999996</v>
          </cell>
          <cell r="C668">
            <v>412.4</v>
          </cell>
          <cell r="D668"/>
          <cell r="E668"/>
          <cell r="F668">
            <v>412.4</v>
          </cell>
        </row>
        <row r="669">
          <cell r="A669">
            <v>15598.1</v>
          </cell>
          <cell r="B669">
            <v>4666.5</v>
          </cell>
          <cell r="C669">
            <v>413.1</v>
          </cell>
          <cell r="D669"/>
          <cell r="E669"/>
          <cell r="F669">
            <v>413.1</v>
          </cell>
        </row>
        <row r="670">
          <cell r="A670">
            <v>15639.5</v>
          </cell>
          <cell r="B670">
            <v>4666.6000000000004</v>
          </cell>
          <cell r="C670">
            <v>413.7</v>
          </cell>
          <cell r="D670"/>
          <cell r="E670"/>
          <cell r="F670">
            <v>413.7</v>
          </cell>
        </row>
        <row r="671">
          <cell r="A671">
            <v>15680.9</v>
          </cell>
          <cell r="B671">
            <v>4666.7</v>
          </cell>
          <cell r="C671">
            <v>414.4</v>
          </cell>
          <cell r="D671"/>
          <cell r="E671"/>
          <cell r="F671">
            <v>414.4</v>
          </cell>
        </row>
        <row r="672">
          <cell r="A672">
            <v>15722.3</v>
          </cell>
          <cell r="B672">
            <v>4666.8</v>
          </cell>
          <cell r="C672">
            <v>415</v>
          </cell>
          <cell r="D672"/>
          <cell r="E672"/>
          <cell r="F672">
            <v>415</v>
          </cell>
        </row>
        <row r="673">
          <cell r="A673">
            <v>15763.9</v>
          </cell>
          <cell r="B673">
            <v>4666.8999999999996</v>
          </cell>
          <cell r="C673">
            <v>415.6</v>
          </cell>
          <cell r="D673"/>
          <cell r="E673"/>
          <cell r="F673">
            <v>415.6</v>
          </cell>
        </row>
        <row r="674">
          <cell r="A674">
            <v>15805.5</v>
          </cell>
          <cell r="B674">
            <v>4667</v>
          </cell>
          <cell r="C674">
            <v>416.3</v>
          </cell>
          <cell r="D674"/>
          <cell r="E674"/>
          <cell r="F674">
            <v>416.3</v>
          </cell>
        </row>
        <row r="675">
          <cell r="A675">
            <v>15847.1</v>
          </cell>
          <cell r="B675">
            <v>4667.1000000000004</v>
          </cell>
          <cell r="C675">
            <v>416.9</v>
          </cell>
          <cell r="D675"/>
          <cell r="E675"/>
          <cell r="F675">
            <v>416.9</v>
          </cell>
        </row>
        <row r="676">
          <cell r="A676">
            <v>15888.9</v>
          </cell>
          <cell r="B676">
            <v>4667.2</v>
          </cell>
          <cell r="C676">
            <v>417.6</v>
          </cell>
          <cell r="D676"/>
          <cell r="E676"/>
          <cell r="F676">
            <v>417.6</v>
          </cell>
        </row>
        <row r="677">
          <cell r="A677">
            <v>15930.6</v>
          </cell>
          <cell r="B677">
            <v>4667.3</v>
          </cell>
          <cell r="C677">
            <v>418.2</v>
          </cell>
          <cell r="D677"/>
          <cell r="E677"/>
          <cell r="F677">
            <v>418.2</v>
          </cell>
        </row>
        <row r="678">
          <cell r="A678">
            <v>15972.5</v>
          </cell>
          <cell r="B678">
            <v>4667.3999999999996</v>
          </cell>
          <cell r="C678">
            <v>418.9</v>
          </cell>
          <cell r="D678"/>
          <cell r="E678"/>
          <cell r="F678">
            <v>418.9</v>
          </cell>
        </row>
        <row r="679">
          <cell r="A679">
            <v>16014.4</v>
          </cell>
          <cell r="B679">
            <v>4667.5</v>
          </cell>
          <cell r="C679">
            <v>419.5</v>
          </cell>
          <cell r="D679"/>
          <cell r="E679"/>
          <cell r="F679">
            <v>419.5</v>
          </cell>
        </row>
        <row r="680">
          <cell r="A680">
            <v>16056.4</v>
          </cell>
          <cell r="B680">
            <v>4667.6000000000004</v>
          </cell>
          <cell r="C680">
            <v>420.2</v>
          </cell>
          <cell r="D680"/>
          <cell r="E680"/>
          <cell r="F680">
            <v>420.2</v>
          </cell>
        </row>
        <row r="681">
          <cell r="A681">
            <v>16098.5</v>
          </cell>
          <cell r="B681">
            <v>4667.7</v>
          </cell>
          <cell r="C681">
            <v>420.8</v>
          </cell>
          <cell r="D681"/>
          <cell r="E681"/>
          <cell r="F681">
            <v>420.8</v>
          </cell>
        </row>
        <row r="682">
          <cell r="A682">
            <v>16140.6</v>
          </cell>
          <cell r="B682">
            <v>4667.8</v>
          </cell>
          <cell r="C682">
            <v>421.5</v>
          </cell>
          <cell r="D682"/>
          <cell r="E682"/>
          <cell r="F682">
            <v>421.5</v>
          </cell>
        </row>
        <row r="683">
          <cell r="A683">
            <v>16182.7</v>
          </cell>
          <cell r="B683">
            <v>4667.8999999999996</v>
          </cell>
          <cell r="C683">
            <v>422.1</v>
          </cell>
          <cell r="D683"/>
          <cell r="E683"/>
          <cell r="F683">
            <v>422.1</v>
          </cell>
        </row>
        <row r="684">
          <cell r="A684">
            <v>16225</v>
          </cell>
          <cell r="B684">
            <v>4668</v>
          </cell>
          <cell r="C684">
            <v>422.7</v>
          </cell>
          <cell r="D684"/>
          <cell r="E684"/>
          <cell r="F684">
            <v>422.7</v>
          </cell>
        </row>
        <row r="685">
          <cell r="A685">
            <v>16267.3</v>
          </cell>
          <cell r="B685">
            <v>4668.1000000000004</v>
          </cell>
          <cell r="C685">
            <v>423.9</v>
          </cell>
          <cell r="D685"/>
          <cell r="E685"/>
          <cell r="F685">
            <v>423.9</v>
          </cell>
        </row>
        <row r="686">
          <cell r="A686">
            <v>16309.8</v>
          </cell>
          <cell r="B686">
            <v>4668.2</v>
          </cell>
          <cell r="C686">
            <v>424.9</v>
          </cell>
          <cell r="D686"/>
          <cell r="E686"/>
          <cell r="F686">
            <v>424.9</v>
          </cell>
        </row>
        <row r="687">
          <cell r="A687">
            <v>16352.3</v>
          </cell>
          <cell r="B687">
            <v>4668.3</v>
          </cell>
          <cell r="C687">
            <v>426</v>
          </cell>
          <cell r="D687"/>
          <cell r="E687"/>
          <cell r="F687">
            <v>426</v>
          </cell>
        </row>
        <row r="688">
          <cell r="A688">
            <v>16395</v>
          </cell>
          <cell r="B688">
            <v>4668.3999999999996</v>
          </cell>
          <cell r="C688">
            <v>427.1</v>
          </cell>
          <cell r="D688"/>
          <cell r="E688"/>
          <cell r="F688">
            <v>427.1</v>
          </cell>
        </row>
        <row r="689">
          <cell r="A689">
            <v>16437.7</v>
          </cell>
          <cell r="B689">
            <v>4668.5</v>
          </cell>
          <cell r="C689">
            <v>428.2</v>
          </cell>
          <cell r="D689"/>
          <cell r="E689"/>
          <cell r="F689">
            <v>428.2</v>
          </cell>
        </row>
        <row r="690">
          <cell r="A690">
            <v>16480.599999999999</v>
          </cell>
          <cell r="B690">
            <v>4668.6000000000004</v>
          </cell>
          <cell r="C690">
            <v>429.2</v>
          </cell>
          <cell r="D690"/>
          <cell r="E690"/>
          <cell r="F690">
            <v>429.2</v>
          </cell>
        </row>
        <row r="691">
          <cell r="A691">
            <v>16523.599999999999</v>
          </cell>
          <cell r="B691">
            <v>4668.7</v>
          </cell>
          <cell r="C691">
            <v>430.3</v>
          </cell>
          <cell r="D691"/>
          <cell r="E691"/>
          <cell r="F691">
            <v>430.3</v>
          </cell>
        </row>
        <row r="692">
          <cell r="A692">
            <v>16566.7</v>
          </cell>
          <cell r="B692">
            <v>4668.8</v>
          </cell>
          <cell r="C692">
            <v>431.4</v>
          </cell>
          <cell r="D692"/>
          <cell r="E692"/>
          <cell r="F692">
            <v>431.4</v>
          </cell>
        </row>
        <row r="693">
          <cell r="A693">
            <v>16609.8</v>
          </cell>
          <cell r="B693">
            <v>4668.8999999999996</v>
          </cell>
          <cell r="C693">
            <v>432.5</v>
          </cell>
          <cell r="D693"/>
          <cell r="E693"/>
          <cell r="F693">
            <v>432.5</v>
          </cell>
        </row>
        <row r="694">
          <cell r="A694">
            <v>16653.099999999999</v>
          </cell>
          <cell r="B694">
            <v>4669</v>
          </cell>
          <cell r="C694">
            <v>433.5</v>
          </cell>
          <cell r="D694"/>
          <cell r="E694"/>
          <cell r="F694">
            <v>433.5</v>
          </cell>
        </row>
        <row r="695">
          <cell r="A695">
            <v>16696.5</v>
          </cell>
          <cell r="B695">
            <v>4669.1000000000004</v>
          </cell>
          <cell r="C695">
            <v>434.3</v>
          </cell>
          <cell r="D695"/>
          <cell r="E695"/>
          <cell r="F695">
            <v>434.3</v>
          </cell>
        </row>
        <row r="696">
          <cell r="A696">
            <v>16740</v>
          </cell>
          <cell r="B696">
            <v>4669.2</v>
          </cell>
          <cell r="C696">
            <v>435.1</v>
          </cell>
          <cell r="D696"/>
          <cell r="E696"/>
          <cell r="F696">
            <v>435.1</v>
          </cell>
        </row>
        <row r="697">
          <cell r="A697">
            <v>16783.599999999999</v>
          </cell>
          <cell r="B697">
            <v>4669.3</v>
          </cell>
          <cell r="C697">
            <v>435.9</v>
          </cell>
          <cell r="D697"/>
          <cell r="E697"/>
          <cell r="F697">
            <v>435.9</v>
          </cell>
        </row>
        <row r="698">
          <cell r="A698">
            <v>16827.2</v>
          </cell>
          <cell r="B698">
            <v>4669.3999999999996</v>
          </cell>
          <cell r="C698">
            <v>436.7</v>
          </cell>
          <cell r="D698"/>
          <cell r="E698"/>
          <cell r="F698">
            <v>436.7</v>
          </cell>
        </row>
        <row r="699">
          <cell r="A699">
            <v>16870.900000000001</v>
          </cell>
          <cell r="B699">
            <v>4669.5</v>
          </cell>
          <cell r="C699">
            <v>437.5</v>
          </cell>
          <cell r="D699"/>
          <cell r="E699"/>
          <cell r="F699">
            <v>437.5</v>
          </cell>
        </row>
        <row r="700">
          <cell r="A700">
            <v>16914.7</v>
          </cell>
          <cell r="B700">
            <v>4669.6000000000004</v>
          </cell>
          <cell r="C700">
            <v>438.3</v>
          </cell>
          <cell r="D700"/>
          <cell r="E700"/>
          <cell r="F700">
            <v>438.3</v>
          </cell>
        </row>
        <row r="701">
          <cell r="A701">
            <v>16958.599999999999</v>
          </cell>
          <cell r="B701">
            <v>4669.7</v>
          </cell>
          <cell r="C701">
            <v>439.2</v>
          </cell>
          <cell r="D701"/>
          <cell r="E701"/>
          <cell r="F701">
            <v>439.2</v>
          </cell>
        </row>
        <row r="702">
          <cell r="A702">
            <v>17002.5</v>
          </cell>
          <cell r="B702">
            <v>4669.8</v>
          </cell>
          <cell r="C702">
            <v>440</v>
          </cell>
          <cell r="D702"/>
          <cell r="E702"/>
          <cell r="F702">
            <v>440</v>
          </cell>
        </row>
        <row r="703">
          <cell r="A703">
            <v>17046.599999999999</v>
          </cell>
          <cell r="B703">
            <v>4669.8999999999996</v>
          </cell>
          <cell r="C703">
            <v>440.8</v>
          </cell>
          <cell r="D703"/>
          <cell r="E703"/>
          <cell r="F703">
            <v>440.8</v>
          </cell>
        </row>
        <row r="704">
          <cell r="A704">
            <v>17090.7</v>
          </cell>
          <cell r="B704">
            <v>4670</v>
          </cell>
          <cell r="C704">
            <v>441.6</v>
          </cell>
          <cell r="D704"/>
          <cell r="E704"/>
          <cell r="F704">
            <v>441.6</v>
          </cell>
        </row>
        <row r="705">
          <cell r="A705">
            <v>17134.900000000001</v>
          </cell>
          <cell r="B705">
            <v>4670.1000000000004</v>
          </cell>
          <cell r="C705">
            <v>442.5</v>
          </cell>
          <cell r="D705"/>
          <cell r="E705"/>
          <cell r="F705">
            <v>442.5</v>
          </cell>
        </row>
        <row r="706">
          <cell r="A706">
            <v>17179.2</v>
          </cell>
          <cell r="B706">
            <v>4670.2</v>
          </cell>
          <cell r="C706">
            <v>443.5</v>
          </cell>
          <cell r="D706"/>
          <cell r="E706"/>
          <cell r="F706">
            <v>443.5</v>
          </cell>
        </row>
        <row r="707">
          <cell r="A707">
            <v>17223.599999999999</v>
          </cell>
          <cell r="B707">
            <v>4670.3</v>
          </cell>
          <cell r="C707">
            <v>444.4</v>
          </cell>
          <cell r="D707"/>
          <cell r="E707"/>
          <cell r="F707">
            <v>444.4</v>
          </cell>
        </row>
        <row r="708">
          <cell r="A708">
            <v>17268.099999999999</v>
          </cell>
          <cell r="B708">
            <v>4670.3999999999996</v>
          </cell>
          <cell r="C708">
            <v>445.4</v>
          </cell>
          <cell r="D708"/>
          <cell r="E708"/>
          <cell r="F708">
            <v>445.4</v>
          </cell>
        </row>
        <row r="709">
          <cell r="A709">
            <v>17312.7</v>
          </cell>
          <cell r="B709">
            <v>4670.5</v>
          </cell>
          <cell r="C709">
            <v>446.4</v>
          </cell>
          <cell r="D709"/>
          <cell r="E709"/>
          <cell r="F709">
            <v>446.4</v>
          </cell>
        </row>
        <row r="710">
          <cell r="A710">
            <v>17357.3</v>
          </cell>
          <cell r="B710">
            <v>4670.6000000000004</v>
          </cell>
          <cell r="C710">
            <v>447.3</v>
          </cell>
          <cell r="D710"/>
          <cell r="E710"/>
          <cell r="F710">
            <v>447.3</v>
          </cell>
        </row>
        <row r="711">
          <cell r="A711">
            <v>17402.099999999999</v>
          </cell>
          <cell r="B711">
            <v>4670.7</v>
          </cell>
          <cell r="C711">
            <v>448.3</v>
          </cell>
          <cell r="D711"/>
          <cell r="E711"/>
          <cell r="F711">
            <v>448.3</v>
          </cell>
        </row>
        <row r="712">
          <cell r="A712">
            <v>17447</v>
          </cell>
          <cell r="B712">
            <v>4670.8</v>
          </cell>
          <cell r="C712">
            <v>449.2</v>
          </cell>
          <cell r="D712"/>
          <cell r="E712"/>
          <cell r="F712">
            <v>449.2</v>
          </cell>
        </row>
        <row r="713">
          <cell r="A713">
            <v>17492</v>
          </cell>
          <cell r="B713">
            <v>4670.8999999999996</v>
          </cell>
          <cell r="C713">
            <v>450.2</v>
          </cell>
          <cell r="D713"/>
          <cell r="E713"/>
          <cell r="F713">
            <v>450.2</v>
          </cell>
        </row>
        <row r="714">
          <cell r="A714">
            <v>17537</v>
          </cell>
          <cell r="B714">
            <v>4671</v>
          </cell>
          <cell r="C714">
            <v>451.1</v>
          </cell>
          <cell r="D714"/>
          <cell r="E714"/>
          <cell r="F714">
            <v>451.1</v>
          </cell>
        </row>
        <row r="715">
          <cell r="A715">
            <v>17582.2</v>
          </cell>
          <cell r="B715">
            <v>4671.1000000000004</v>
          </cell>
          <cell r="C715">
            <v>451.8</v>
          </cell>
          <cell r="D715"/>
          <cell r="E715"/>
          <cell r="F715">
            <v>451.8</v>
          </cell>
        </row>
        <row r="716">
          <cell r="A716">
            <v>17627.400000000001</v>
          </cell>
          <cell r="B716">
            <v>4671.2</v>
          </cell>
          <cell r="C716">
            <v>452.4</v>
          </cell>
          <cell r="D716"/>
          <cell r="E716"/>
          <cell r="F716">
            <v>452.4</v>
          </cell>
        </row>
        <row r="717">
          <cell r="A717">
            <v>17672.7</v>
          </cell>
          <cell r="B717">
            <v>4671.3</v>
          </cell>
          <cell r="C717">
            <v>453</v>
          </cell>
          <cell r="D717"/>
          <cell r="E717"/>
          <cell r="F717">
            <v>453</v>
          </cell>
        </row>
        <row r="718">
          <cell r="A718">
            <v>17718</v>
          </cell>
          <cell r="B718">
            <v>4671.3999999999996</v>
          </cell>
          <cell r="C718">
            <v>453.6</v>
          </cell>
          <cell r="D718"/>
          <cell r="E718"/>
          <cell r="F718">
            <v>453.6</v>
          </cell>
        </row>
        <row r="719">
          <cell r="A719">
            <v>17763.400000000001</v>
          </cell>
          <cell r="B719">
            <v>4671.5</v>
          </cell>
          <cell r="C719">
            <v>454.2</v>
          </cell>
          <cell r="D719"/>
          <cell r="E719"/>
          <cell r="F719">
            <v>454.2</v>
          </cell>
        </row>
        <row r="720">
          <cell r="A720">
            <v>17808.8</v>
          </cell>
          <cell r="B720">
            <v>4671.6000000000004</v>
          </cell>
          <cell r="C720">
            <v>454.9</v>
          </cell>
          <cell r="D720"/>
          <cell r="E720"/>
          <cell r="F720">
            <v>454.9</v>
          </cell>
        </row>
        <row r="721">
          <cell r="A721">
            <v>17854.400000000001</v>
          </cell>
          <cell r="B721">
            <v>4671.7</v>
          </cell>
          <cell r="C721">
            <v>455.5</v>
          </cell>
          <cell r="D721"/>
          <cell r="E721"/>
          <cell r="F721">
            <v>455.5</v>
          </cell>
        </row>
        <row r="722">
          <cell r="A722">
            <v>17899.900000000001</v>
          </cell>
          <cell r="B722">
            <v>4671.8</v>
          </cell>
          <cell r="C722">
            <v>456.1</v>
          </cell>
          <cell r="D722"/>
          <cell r="E722"/>
          <cell r="F722">
            <v>456.1</v>
          </cell>
        </row>
        <row r="723">
          <cell r="A723">
            <v>17945.599999999999</v>
          </cell>
          <cell r="B723">
            <v>4671.8999999999996</v>
          </cell>
          <cell r="C723">
            <v>456.7</v>
          </cell>
          <cell r="D723"/>
          <cell r="E723"/>
          <cell r="F723">
            <v>456.7</v>
          </cell>
        </row>
        <row r="724">
          <cell r="A724">
            <v>17991.3</v>
          </cell>
          <cell r="B724">
            <v>4672</v>
          </cell>
          <cell r="C724">
            <v>457.3</v>
          </cell>
          <cell r="D724"/>
          <cell r="E724"/>
          <cell r="F724">
            <v>457.3</v>
          </cell>
        </row>
        <row r="725">
          <cell r="A725">
            <v>18037</v>
          </cell>
          <cell r="B725">
            <v>4672.1000000000004</v>
          </cell>
          <cell r="C725">
            <v>458</v>
          </cell>
          <cell r="D725"/>
          <cell r="E725"/>
          <cell r="F725">
            <v>458</v>
          </cell>
        </row>
        <row r="726">
          <cell r="A726">
            <v>18082.900000000001</v>
          </cell>
          <cell r="B726">
            <v>4672.2</v>
          </cell>
          <cell r="C726">
            <v>458.6</v>
          </cell>
          <cell r="D726"/>
          <cell r="E726"/>
          <cell r="F726">
            <v>458.6</v>
          </cell>
        </row>
        <row r="727">
          <cell r="A727">
            <v>18128.8</v>
          </cell>
          <cell r="B727">
            <v>4672.3</v>
          </cell>
          <cell r="C727">
            <v>459.2</v>
          </cell>
          <cell r="D727"/>
          <cell r="E727"/>
          <cell r="F727">
            <v>459.2</v>
          </cell>
        </row>
        <row r="728">
          <cell r="A728">
            <v>18174.7</v>
          </cell>
          <cell r="B728">
            <v>4672.3999999999996</v>
          </cell>
          <cell r="C728">
            <v>459.8</v>
          </cell>
          <cell r="D728"/>
          <cell r="E728"/>
          <cell r="F728">
            <v>459.8</v>
          </cell>
        </row>
        <row r="729">
          <cell r="A729">
            <v>18220.7</v>
          </cell>
          <cell r="B729">
            <v>4672.5</v>
          </cell>
          <cell r="C729">
            <v>460.4</v>
          </cell>
          <cell r="D729"/>
          <cell r="E729"/>
          <cell r="F729">
            <v>460.4</v>
          </cell>
        </row>
        <row r="730">
          <cell r="A730">
            <v>18266.8</v>
          </cell>
          <cell r="B730">
            <v>4672.6000000000004</v>
          </cell>
          <cell r="C730">
            <v>461.1</v>
          </cell>
          <cell r="D730"/>
          <cell r="E730"/>
          <cell r="F730">
            <v>461.1</v>
          </cell>
        </row>
        <row r="731">
          <cell r="A731">
            <v>18312.900000000001</v>
          </cell>
          <cell r="B731">
            <v>4672.7</v>
          </cell>
          <cell r="C731">
            <v>461.7</v>
          </cell>
          <cell r="D731"/>
          <cell r="E731"/>
          <cell r="F731">
            <v>461.7</v>
          </cell>
        </row>
        <row r="732">
          <cell r="A732">
            <v>18359.099999999999</v>
          </cell>
          <cell r="B732">
            <v>4672.8</v>
          </cell>
          <cell r="C732">
            <v>462.3</v>
          </cell>
          <cell r="D732"/>
          <cell r="E732"/>
          <cell r="F732">
            <v>462.3</v>
          </cell>
        </row>
        <row r="733">
          <cell r="A733">
            <v>18405.400000000001</v>
          </cell>
          <cell r="B733">
            <v>4672.8999999999996</v>
          </cell>
          <cell r="C733">
            <v>462.9</v>
          </cell>
          <cell r="D733"/>
          <cell r="E733"/>
          <cell r="F733">
            <v>462.9</v>
          </cell>
        </row>
        <row r="734">
          <cell r="A734">
            <v>18451.7</v>
          </cell>
          <cell r="B734">
            <v>4673</v>
          </cell>
          <cell r="C734">
            <v>463.5</v>
          </cell>
          <cell r="D734"/>
          <cell r="E734"/>
          <cell r="F734">
            <v>463.5</v>
          </cell>
        </row>
      </sheetData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ow Quantiles - Seaso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earriverbasin.org/rivers/river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le.utah.gov/xcode/Title73/Chapter16/C73-16_1800010118000101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earrivercommission.org/docs/Bear%20River%20Stream%20Flow%20and%20Depletions%20Schematic%20Map%201990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aterplan.state.wy.us/BAG/bear/briefbook/bcompact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earrivercommission.org/docs/BRC%202019%20Depletions%20Report%20(Final%20Adopted%202023-04-18)%20(w%20appendices).pdf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mountainscholar.org/server/api/core/bitstreams/26890e0c-11de-42ca-a6bd-6b3a97ec1ba3/content" TargetMode="External"/><Relationship Id="rId2" Type="http://schemas.openxmlformats.org/officeDocument/2006/relationships/hyperlink" Target="https://water.utah.gov/wp-content/uploads/2019/11/Bear-River-Development-Report-Volume-I-Report-Final.pdf" TargetMode="External"/><Relationship Id="rId1" Type="http://schemas.openxmlformats.org/officeDocument/2006/relationships/hyperlink" Target="https://waterplan.state.wy.us/BAG/bear/briefbook/bcompac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4A82-EF79-48C6-BC1D-6918E5CC9B57}">
  <dimension ref="A1:Y949"/>
  <sheetViews>
    <sheetView zoomScale="145" zoomScaleNormal="145" workbookViewId="0">
      <selection activeCell="B7" sqref="B7"/>
    </sheetView>
  </sheetViews>
  <sheetFormatPr defaultColWidth="12.7109375" defaultRowHeight="15" customHeight="1"/>
  <cols>
    <col min="1" max="1" width="6.42578125" style="2" customWidth="1"/>
    <col min="2" max="2" width="76" style="2" customWidth="1"/>
    <col min="3" max="3" width="16.42578125" style="2" customWidth="1"/>
    <col min="4" max="4" width="26.28515625" style="2" customWidth="1"/>
    <col min="5" max="5" width="17" style="2" customWidth="1"/>
    <col min="6" max="6" width="17.42578125" style="2" customWidth="1"/>
    <col min="7" max="7" width="13.140625" style="2" customWidth="1"/>
    <col min="8" max="8" width="6.42578125" style="2" customWidth="1"/>
    <col min="9" max="9" width="9.28515625" style="2" customWidth="1"/>
    <col min="10" max="10" width="7" style="2" customWidth="1"/>
    <col min="11" max="25" width="9.85546875" style="2" customWidth="1"/>
    <col min="26" max="16384" width="12.7109375" style="2"/>
  </cols>
  <sheetData>
    <row r="1" spans="1:25" ht="15.75" customHeight="1">
      <c r="A1" s="239" t="s">
        <v>64</v>
      </c>
      <c r="B1" s="240"/>
      <c r="C1" s="240"/>
      <c r="D1" s="240"/>
      <c r="E1" s="240"/>
      <c r="F1" s="240"/>
      <c r="G1" s="4"/>
      <c r="H1" s="4"/>
      <c r="I1" s="5"/>
      <c r="J1" s="4"/>
      <c r="K1" s="4"/>
      <c r="L1" s="4"/>
      <c r="M1" s="4"/>
      <c r="N1" s="6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5" customHeight="1">
      <c r="A2" s="7"/>
      <c r="B2" s="8" t="s">
        <v>2</v>
      </c>
      <c r="C2" s="7"/>
      <c r="D2" s="7"/>
      <c r="E2" s="7"/>
      <c r="F2" s="7"/>
      <c r="G2" s="4"/>
      <c r="H2" s="4"/>
      <c r="I2" s="5"/>
      <c r="J2" s="4"/>
      <c r="K2" s="4"/>
      <c r="L2" s="4"/>
      <c r="M2" s="4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>
      <c r="A3" s="4"/>
      <c r="B3" s="4"/>
      <c r="C3" s="4"/>
      <c r="D3" s="9"/>
      <c r="E3" s="5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>
      <c r="A4" s="11">
        <v>1</v>
      </c>
      <c r="B4" s="12" t="s">
        <v>3</v>
      </c>
      <c r="C4" s="8"/>
      <c r="D4" s="7"/>
      <c r="E4" s="7"/>
      <c r="F4" s="10"/>
      <c r="G4" s="4"/>
      <c r="H4" s="4"/>
      <c r="I4" s="5"/>
      <c r="J4" s="4"/>
      <c r="K4" s="4"/>
      <c r="L4" s="4"/>
      <c r="M4" s="4"/>
      <c r="N4" s="4"/>
      <c r="O4" s="5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>
      <c r="A5" s="241" t="s">
        <v>4</v>
      </c>
      <c r="B5" s="242"/>
      <c r="C5" s="14" t="s">
        <v>5</v>
      </c>
      <c r="D5" s="15" t="s">
        <v>6</v>
      </c>
      <c r="E5" s="15"/>
      <c r="F5" s="10"/>
      <c r="G5" s="4"/>
      <c r="H5" s="4"/>
      <c r="I5" s="5"/>
      <c r="J5" s="4"/>
      <c r="K5" s="4"/>
      <c r="L5" s="4"/>
      <c r="M5" s="4"/>
      <c r="N5" s="4"/>
      <c r="O5" s="5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2" customHeight="1">
      <c r="A6" s="15" t="s">
        <v>7</v>
      </c>
      <c r="B6" s="15" t="s">
        <v>65</v>
      </c>
      <c r="C6" s="17"/>
      <c r="D6" s="17"/>
      <c r="E6" s="18"/>
      <c r="F6" s="10"/>
      <c r="G6" s="4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>
      <c r="A7" s="138" t="s">
        <v>8</v>
      </c>
      <c r="B7" s="139" t="s">
        <v>236</v>
      </c>
      <c r="C7" s="140"/>
      <c r="D7" s="141"/>
      <c r="E7" s="20"/>
      <c r="F7" s="10"/>
      <c r="G7" s="5"/>
      <c r="H7" s="5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>
      <c r="A8" s="138" t="s">
        <v>9</v>
      </c>
      <c r="B8" s="139" t="s">
        <v>235</v>
      </c>
      <c r="C8" s="142"/>
      <c r="D8" s="141"/>
      <c r="E8" s="20"/>
      <c r="F8" s="21"/>
      <c r="G8" s="5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>
      <c r="A9" s="138" t="s">
        <v>10</v>
      </c>
      <c r="B9" s="139" t="s">
        <v>240</v>
      </c>
      <c r="C9" s="140"/>
      <c r="D9" s="141"/>
      <c r="E9" s="20"/>
      <c r="F9" s="10"/>
      <c r="G9" s="5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>
      <c r="A10" s="138" t="s">
        <v>11</v>
      </c>
      <c r="B10" s="139" t="s">
        <v>241</v>
      </c>
      <c r="C10" s="140"/>
      <c r="D10" s="140"/>
      <c r="E10" s="20"/>
      <c r="F10" s="10"/>
      <c r="G10" s="5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>
      <c r="A11" s="138" t="s">
        <v>12</v>
      </c>
      <c r="B11" s="139" t="s">
        <v>214</v>
      </c>
      <c r="C11" s="140"/>
      <c r="D11" s="141"/>
      <c r="E11" s="20"/>
      <c r="F11" s="22"/>
      <c r="G11" s="5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>
      <c r="A12" s="23"/>
      <c r="B12" s="24"/>
      <c r="C12" s="25"/>
      <c r="D12" s="26"/>
      <c r="E12" s="27"/>
      <c r="F12" s="3"/>
      <c r="G12" s="5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>
      <c r="A13" s="28">
        <v>2</v>
      </c>
      <c r="B13" s="29" t="s">
        <v>13</v>
      </c>
      <c r="C13" s="30" t="s">
        <v>237</v>
      </c>
      <c r="D13" s="28" t="s">
        <v>95</v>
      </c>
      <c r="E13" s="28" t="s">
        <v>66</v>
      </c>
      <c r="F13" s="28" t="s">
        <v>238</v>
      </c>
      <c r="G13" s="28" t="s">
        <v>14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5.75" customHeight="1">
      <c r="A14" s="31"/>
      <c r="B14" s="32" t="s">
        <v>15</v>
      </c>
      <c r="C14" s="33"/>
      <c r="D14" s="34"/>
      <c r="E14" s="34"/>
      <c r="F14" s="34"/>
      <c r="G14" s="35">
        <f>SUM(C14:D14)</f>
        <v>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>
      <c r="A15" s="36"/>
      <c r="B15" s="32" t="s">
        <v>16</v>
      </c>
      <c r="C15" s="33"/>
      <c r="D15" s="31"/>
      <c r="E15" s="31"/>
      <c r="F15" s="31"/>
      <c r="G15" s="3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5.75" customHeight="1">
      <c r="A16" s="37"/>
      <c r="B16" s="38" t="s">
        <v>17</v>
      </c>
      <c r="C16" s="33"/>
      <c r="D16" s="34"/>
      <c r="E16" s="34"/>
      <c r="F16" s="34"/>
      <c r="G16" s="3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customHeight="1">
      <c r="A17" s="39"/>
      <c r="B17" s="40" t="s">
        <v>18</v>
      </c>
      <c r="C17" s="41"/>
      <c r="D17" s="42"/>
      <c r="E17" s="42"/>
      <c r="F17" s="42"/>
      <c r="G17" s="41">
        <f>SUM(C17:D17)</f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customHeight="1">
      <c r="A18" s="39"/>
      <c r="B18" s="40" t="s">
        <v>19</v>
      </c>
      <c r="C18" s="41"/>
      <c r="D18" s="41"/>
      <c r="E18" s="41"/>
      <c r="F18" s="41"/>
      <c r="G18" s="41">
        <f>SUM(C18:D18)</f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37"/>
      <c r="B19" s="38" t="s">
        <v>20</v>
      </c>
      <c r="C19" s="44"/>
      <c r="D19" s="45"/>
      <c r="E19" s="45"/>
      <c r="F19" s="158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3"/>
      <c r="D20" s="5"/>
      <c r="E20" s="43"/>
      <c r="F20" s="4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6">
        <v>3</v>
      </c>
      <c r="B21" s="46" t="s">
        <v>21</v>
      </c>
      <c r="C21" s="47" t="s">
        <v>22</v>
      </c>
      <c r="D21" s="47" t="s">
        <v>23</v>
      </c>
      <c r="E21" s="46" t="s">
        <v>24</v>
      </c>
      <c r="F21" s="46" t="s">
        <v>25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.75" customHeight="1">
      <c r="A22" s="48"/>
      <c r="B22" s="49" t="s">
        <v>26</v>
      </c>
      <c r="C22" s="4"/>
      <c r="D22" s="4"/>
      <c r="E22" s="4"/>
      <c r="F22" s="4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5.75" customHeight="1">
      <c r="A23" s="48"/>
      <c r="B23" s="50"/>
      <c r="C23" s="51"/>
      <c r="D23" s="52" t="e">
        <f>C106</f>
        <v>#N/A</v>
      </c>
      <c r="E23" s="52" t="e">
        <f ca="1">D106</f>
        <v>#N/A</v>
      </c>
      <c r="F23" s="52" t="e">
        <f ca="1">E106</f>
        <v>#N/A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8"/>
      <c r="B24" s="50"/>
      <c r="C24" s="51"/>
      <c r="D24" s="52"/>
      <c r="E24" s="52"/>
      <c r="F24" s="5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8"/>
      <c r="B25" s="50"/>
      <c r="C25" s="51"/>
      <c r="D25" s="52"/>
      <c r="E25" s="52"/>
      <c r="F25" s="5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8"/>
      <c r="B26" s="50"/>
      <c r="C26" s="53"/>
      <c r="D26" s="52" t="e">
        <f t="shared" ref="D26:F26" si="0">C107</f>
        <v>#N/A</v>
      </c>
      <c r="E26" s="52" t="e">
        <f t="shared" ca="1" si="0"/>
        <v>#N/A</v>
      </c>
      <c r="F26" s="52" t="e">
        <f t="shared" ca="1" si="0"/>
        <v>#N/A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8" t="s">
        <v>28</v>
      </c>
      <c r="B27" s="54" t="s">
        <v>29</v>
      </c>
      <c r="C27" s="14"/>
      <c r="D27" s="55"/>
      <c r="E27" s="14"/>
      <c r="F27" s="1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customHeight="1">
      <c r="A28" s="57"/>
      <c r="B28" s="58"/>
      <c r="C28" s="59" t="e">
        <f>VLOOKUP(C$23,'[1]Elevation-Area-Storage'!$A$5:$C$735,3)</f>
        <v>#N/A</v>
      </c>
      <c r="D28" s="60" t="e">
        <f>VLOOKUP(D$23,'[1]Elevation-Area-Storage'!$A$5:$C$735,3)</f>
        <v>#N/A</v>
      </c>
      <c r="E28" s="60" t="e">
        <f ca="1">VLOOKUP(E$23,'[1]Elevation-Area-Storage'!$A$5:$C$735,3)</f>
        <v>#N/A</v>
      </c>
      <c r="F28" s="60" t="e">
        <f ca="1">VLOOKUP(F$23,'[1]Elevation-Area-Storage'!$A$5:$C$735,3)</f>
        <v>#N/A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57"/>
      <c r="B29" s="61"/>
      <c r="C29" s="59" t="e">
        <f>VLOOKUP(C$26,'[1]Elevation-Area-Storage'!$D$5:$F$152,3)</f>
        <v>#N/A</v>
      </c>
      <c r="D29" s="62" t="e">
        <f>VLOOKUP(D$26,'[1]Elevation-Area-Storage'!$D$5:$F$152,3)</f>
        <v>#N/A</v>
      </c>
      <c r="E29" s="62" t="e">
        <f ca="1">VLOOKUP(E$26,'[1]Elevation-Area-Storage'!$D$5:$F$152,3)</f>
        <v>#N/A</v>
      </c>
      <c r="F29" s="62" t="e">
        <f ca="1">VLOOKUP(F$26,'[1]Elevation-Area-Storage'!$D$5:$F$152,3)</f>
        <v>#N/A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63"/>
      <c r="B30" s="64" t="s">
        <v>30</v>
      </c>
      <c r="C30" s="59" t="e">
        <f t="shared" ref="C30:F30" si="1">SUM(C28:C29)</f>
        <v>#N/A</v>
      </c>
      <c r="D30" s="65" t="e">
        <f t="shared" si="1"/>
        <v>#N/A</v>
      </c>
      <c r="E30" s="65" t="e">
        <f t="shared" ca="1" si="1"/>
        <v>#N/A</v>
      </c>
      <c r="F30" s="65" t="e">
        <f t="shared" ca="1" si="1"/>
        <v>#N/A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66" t="s">
        <v>31</v>
      </c>
      <c r="C31" s="59" t="e">
        <f>SUM(C28:C29)-$G$17</f>
        <v>#N/A</v>
      </c>
      <c r="D31" s="62" t="e">
        <f>SUM(D28:D29)-$G$17</f>
        <v>#N/A</v>
      </c>
      <c r="E31" s="62" t="e">
        <f ca="1">SUM(E28:E29)-$G$17</f>
        <v>#N/A</v>
      </c>
      <c r="F31" s="62" t="e">
        <f ca="1">SUM(F28:F29)-$G$17</f>
        <v>#N/A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1" customHeight="1">
      <c r="A32" s="63"/>
      <c r="B32" s="67" t="s">
        <v>32</v>
      </c>
      <c r="C32" s="68" t="e">
        <f>((VLOOKUP(C$23,'[1]Elevation-Area-Storage'!$A$5:$C$735,2))+(VLOOKUP(C$26,'[1]Elevation-Area-Storage'!$D$5:$F$152,2)))*$C$19</f>
        <v>#N/A</v>
      </c>
      <c r="D32" s="69" t="e">
        <f>((VLOOKUP(D$23,'[1]Elevation-Area-Storage'!$A$5:$C$735,2))+(VLOOKUP(D$26,'[1]Elevation-Area-Storage'!$D$5:$F$152,2)))*$C$19</f>
        <v>#N/A</v>
      </c>
      <c r="E32" s="69" t="e">
        <f ca="1">((VLOOKUP(E$23,'[1]Elevation-Area-Storage'!$A$5:$C$735,2))+(VLOOKUP(E$26,'[1]Elevation-Area-Storage'!$D$5:$F$152,2)))*$C$19</f>
        <v>#N/A</v>
      </c>
      <c r="F32" s="69" t="e">
        <f ca="1">((VLOOKUP(F$23,'[1]Elevation-Area-Storage'!$A$5:$C$735,2))+(VLOOKUP(F$26,'[1]Elevation-Area-Storage'!$D$5:$F$152,2)))*$C$19</f>
        <v>#N/A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70" t="s">
        <v>33</v>
      </c>
      <c r="B33" s="71" t="s">
        <v>34</v>
      </c>
      <c r="C33" s="72">
        <v>50</v>
      </c>
      <c r="D33" s="73">
        <v>0</v>
      </c>
      <c r="E33" s="73">
        <v>0</v>
      </c>
      <c r="F33" s="73">
        <v>0</v>
      </c>
      <c r="G33" s="74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>
      <c r="A34" s="70"/>
      <c r="B34" s="75" t="s">
        <v>35</v>
      </c>
      <c r="C34" s="76"/>
      <c r="D34" s="76"/>
      <c r="E34" s="77"/>
      <c r="F34" s="78"/>
      <c r="G34" s="74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.75" customHeight="1">
      <c r="A35" s="79"/>
      <c r="B35" s="80" t="s">
        <v>229</v>
      </c>
      <c r="C35" s="42" t="e" cm="1">
        <f t="array" ref="C35">IF(C$33 &lt; 1, _xlfn.XLOOKUP($B35,'[1]Inflow Quantiles - Seasonal'!$A$34:$A$38,'[1]Inflow Quantiles - Seasonal'!$B$34:$B$38)*C$33, IF(C$33 &gt; 100,_xlfn.XLOOKUP($B35,'[1]Inflow Quantiles - Seasonal'!$A$34:$A$38,'[1]Inflow Quantiles - Seasonal'!$CW$34:$CW$38)*C$33/100, _xlfn.XLOOKUP(C$33,'[1]Inflow Quantiles - Seasonal'!$B$33:$CW$33, _xlfn.XLOOKUP($B35,'[1]Inflow Quantiles - Seasonal'!$A$34:$A$38,'[1]Inflow Quantiles - Seasonal'!$B$34:$CW$38))))*1000</f>
        <v>#N/A</v>
      </c>
      <c r="D35" s="42" t="e" cm="1">
        <f t="array" ref="D35">IF(D$33 &lt; 1, _xlfn.XLOOKUP($B35,'[1]Inflow Quantiles - Seasonal'!$A$34:$A$38,'[1]Inflow Quantiles - Seasonal'!$B$34:$B$38)*D$33, IF(D$33 &gt; 100,_xlfn.XLOOKUP($B35,'[1]Inflow Quantiles - Seasonal'!$A$34:$A$38,'[1]Inflow Quantiles - Seasonal'!$CW$34:$CW$38)*D$33/100, _xlfn.XLOOKUP(D$33,'[1]Inflow Quantiles - Seasonal'!$B$33:$CW$33, _xlfn.XLOOKUP($B35,'[1]Inflow Quantiles - Seasonal'!$A$34:$A$38,'[1]Inflow Quantiles - Seasonal'!$B$34:$CW$38))))*1000</f>
        <v>#N/A</v>
      </c>
      <c r="E35" s="42" t="e">
        <f t="array" aca="1" ref="E35" ca="1">IF(E$33 &lt; 1, _xludf.XLOOKUP($B35,'[1]Inflow Quantiles - Seasonal'!$A$34:$A$38,'[1]Inflow Quantiles - Seasonal'!$B$34:$B$38)*E$33, IF(E$33 &gt; 100,_xludf.XLOOKUP($B35,'[1]Inflow Quantiles - Seasonal'!$A$34:$A$38,'[1]Inflow Quantiles - Seasonal'!$CW$34:$CW$38)*E$33/100, _xludf.XLOOKUP(E$33,'[1]Inflow Quantiles - Seasonal'!$B$33:$CW$33, _xludf.XLOOKUP($B35,'[1]Inflow Quantiles - Seasonal'!$A$34:$A$38,'[1]Inflow Quantiles - Seasonal'!$B$34:$CW$38))))*1000</f>
        <v>#NAME?</v>
      </c>
      <c r="F35" s="42" t="e">
        <f t="array" aca="1" ref="F35" ca="1">IF(F$33 &lt; 1, _xludf.XLOOKUP($B35,'[1]Inflow Quantiles - Seasonal'!$A$34:$A$38,'[1]Inflow Quantiles - Seasonal'!$B$34:$B$38)*F$33, IF(F$33 &gt; 100,_xludf.XLOOKUP($B35,'[1]Inflow Quantiles - Seasonal'!$A$34:$A$38,'[1]Inflow Quantiles - Seasonal'!$CW$34:$CW$38)*F$33/100, _xludf.XLOOKUP(F$33,'[1]Inflow Quantiles - Seasonal'!$B$33:$CW$33, _xludf.XLOOKUP($B35,'[1]Inflow Quantiles - Seasonal'!$A$34:$A$38,'[1]Inflow Quantiles - Seasonal'!$B$34:$CW$38))))*1000</f>
        <v>#NAME?</v>
      </c>
      <c r="G35" s="43"/>
      <c r="H35" s="4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81"/>
      <c r="B36" s="80"/>
      <c r="C36" s="42" t="e" cm="1">
        <f t="array" ref="C36">IF(C$33 &lt; 1, _xlfn.XLOOKUP($B36,'[1]Inflow Quantiles - Seasonal'!$A$34:$A$38,'[1]Inflow Quantiles - Seasonal'!$B$34:$B$38)*C$33, IF(C$33 &gt; 100,_xlfn.XLOOKUP($B36,'[1]Inflow Quantiles - Seasonal'!$A$34:$A$38,'[1]Inflow Quantiles - Seasonal'!$CW$34:$CW$38)*C$33/100, _xlfn.XLOOKUP(C$33,'[1]Inflow Quantiles - Seasonal'!$B$33:$CW$33, _xlfn.XLOOKUP($B36,'[1]Inflow Quantiles - Seasonal'!$A$34:$A$38,'[1]Inflow Quantiles - Seasonal'!$B$34:$CW$38))))*1000</f>
        <v>#N/A</v>
      </c>
      <c r="D36" s="42" t="e" cm="1">
        <f t="array" ref="D36">IF(D$33 &lt; 1, _xlfn.XLOOKUP($B36,'[1]Inflow Quantiles - Seasonal'!$A$34:$A$38,'[1]Inflow Quantiles - Seasonal'!$B$34:$B$38)*D$33, IF(D$33 &gt; 100,_xlfn.XLOOKUP($B36,'[1]Inflow Quantiles - Seasonal'!$A$34:$A$38,'[1]Inflow Quantiles - Seasonal'!$CW$34:$CW$38)*D$33/100, _xlfn.XLOOKUP(D$33,'[1]Inflow Quantiles - Seasonal'!$B$33:$CW$33, _xlfn.XLOOKUP($B36,'[1]Inflow Quantiles - Seasonal'!$A$34:$A$38,'[1]Inflow Quantiles - Seasonal'!$B$34:$CW$38))))*1000</f>
        <v>#N/A</v>
      </c>
      <c r="E36" s="42" t="e">
        <f t="array" aca="1" ref="E36" ca="1">IF(E$33 &lt; 1, _xludf.XLOOKUP($B36,'[1]Inflow Quantiles - Seasonal'!$A$34:$A$38,'[1]Inflow Quantiles - Seasonal'!$B$34:$B$38)*E$33, IF(E$33 &gt; 100,_xludf.XLOOKUP($B36,'[1]Inflow Quantiles - Seasonal'!$A$34:$A$38,'[1]Inflow Quantiles - Seasonal'!$CW$34:$CW$38)*E$33/100, _xludf.XLOOKUP(E$33,'[1]Inflow Quantiles - Seasonal'!$B$33:$CW$33, _xludf.XLOOKUP($B36,'[1]Inflow Quantiles - Seasonal'!$A$34:$A$38,'[1]Inflow Quantiles - Seasonal'!$B$34:$CW$38))))*1000</f>
        <v>#NAME?</v>
      </c>
      <c r="F36" s="42" t="e">
        <f t="array" aca="1" ref="F36" ca="1">IF(F$33 &lt; 1, _xludf.XLOOKUP($B36,'[1]Inflow Quantiles - Seasonal'!$A$34:$A$38,'[1]Inflow Quantiles - Seasonal'!$B$34:$B$38)*F$33, IF(F$33 &gt; 100,_xludf.XLOOKUP($B36,'[1]Inflow Quantiles - Seasonal'!$A$34:$A$38,'[1]Inflow Quantiles - Seasonal'!$CW$34:$CW$38)*F$33/100, _xludf.XLOOKUP(F$33,'[1]Inflow Quantiles - Seasonal'!$B$33:$CW$33, _xludf.XLOOKUP($B36,'[1]Inflow Quantiles - Seasonal'!$A$34:$A$38,'[1]Inflow Quantiles - Seasonal'!$B$34:$CW$38))))*1000</f>
        <v>#NAME?</v>
      </c>
      <c r="G36" s="8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63"/>
      <c r="B37" s="80"/>
      <c r="C37" s="42" t="e" cm="1">
        <f t="array" ref="C37">IF(C$33 &lt; 1, _xlfn.XLOOKUP($B37,'[1]Inflow Quantiles - Seasonal'!$A$34:$A$38,'[1]Inflow Quantiles - Seasonal'!$B$34:$B$38)*C$33, IF(C$33 &gt; 100,_xlfn.XLOOKUP($B37,'[1]Inflow Quantiles - Seasonal'!$A$34:$A$38,'[1]Inflow Quantiles - Seasonal'!$CW$34:$CW$38)*C$33/100, _xlfn.XLOOKUP(C$33,'[1]Inflow Quantiles - Seasonal'!$B$33:$CW$33, _xlfn.XLOOKUP($B37,'[1]Inflow Quantiles - Seasonal'!$A$34:$A$38,'[1]Inflow Quantiles - Seasonal'!$B$34:$CW$38))))*1000</f>
        <v>#N/A</v>
      </c>
      <c r="D37" s="42" t="e">
        <f t="array" aca="1" ref="D37" ca="1">IF(D$33 &lt; 1, _xludf.XLOOKUP($B37,'[1]Inflow Quantiles - Seasonal'!$A$34:$A$38,'[1]Inflow Quantiles - Seasonal'!$B$34:$B$38)*D$33, IF(D$33 &gt; 100,_xludf.XLOOKUP($B37,'[1]Inflow Quantiles - Seasonal'!$A$34:$A$38,'[1]Inflow Quantiles - Seasonal'!$CW$34:$CW$38)*D$33/100, _xludf.XLOOKUP(D$33,'[1]Inflow Quantiles - Seasonal'!$B$33:$CW$33, _xludf.XLOOKUP($B37,'[1]Inflow Quantiles - Seasonal'!$A$34:$A$38,'[1]Inflow Quantiles - Seasonal'!$B$34:$CW$38))))*1000</f>
        <v>#NAME?</v>
      </c>
      <c r="E37" s="42" t="e">
        <f t="array" aca="1" ref="E37" ca="1">IF(E$33 &lt; 1, _xludf.XLOOKUP($B37,'[1]Inflow Quantiles - Seasonal'!$A$34:$A$38,'[1]Inflow Quantiles - Seasonal'!$B$34:$B$38)*E$33, IF(E$33 &gt; 100,_xludf.XLOOKUP($B37,'[1]Inflow Quantiles - Seasonal'!$A$34:$A$38,'[1]Inflow Quantiles - Seasonal'!$CW$34:$CW$38)*E$33/100, _xludf.XLOOKUP(E$33,'[1]Inflow Quantiles - Seasonal'!$B$33:$CW$33, _xludf.XLOOKUP($B37,'[1]Inflow Quantiles - Seasonal'!$A$34:$A$38,'[1]Inflow Quantiles - Seasonal'!$B$34:$CW$38))))*1000</f>
        <v>#NAME?</v>
      </c>
      <c r="F37" s="42" t="e">
        <f t="array" aca="1" ref="F37" ca="1">IF(F$33 &lt; 1, _xludf.XLOOKUP($B37,'[1]Inflow Quantiles - Seasonal'!$A$34:$A$38,'[1]Inflow Quantiles - Seasonal'!$B$34:$B$38)*F$33, IF(F$33 &gt; 100,_xludf.XLOOKUP($B37,'[1]Inflow Quantiles - Seasonal'!$A$34:$A$38,'[1]Inflow Quantiles - Seasonal'!$CW$34:$CW$38)*F$33/100, _xludf.XLOOKUP(F$33,'[1]Inflow Quantiles - Seasonal'!$B$33:$CW$33, _xludf.XLOOKUP($B37,'[1]Inflow Quantiles - Seasonal'!$A$34:$A$38,'[1]Inflow Quantiles - Seasonal'!$B$34:$CW$38))))*1000</f>
        <v>#NAME?</v>
      </c>
      <c r="G37" s="8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63"/>
      <c r="B38" s="80"/>
      <c r="C38" s="42" t="e" cm="1">
        <f t="array" ref="C38">IF(C$33 &lt; 1, _xlfn.XLOOKUP($B38,'[1]Inflow Quantiles - Seasonal'!$A$34:$A$38,'[1]Inflow Quantiles - Seasonal'!$B$34:$B$38)*C$33, IF(C$33 &gt; 100,_xlfn.XLOOKUP($B38,'[1]Inflow Quantiles - Seasonal'!$A$34:$A$38,'[1]Inflow Quantiles - Seasonal'!$CW$34:$CW$38)*C$33/100, _xlfn.XLOOKUP(C$33,'[1]Inflow Quantiles - Seasonal'!$B$33:$CW$33, _xlfn.XLOOKUP($B38,'[1]Inflow Quantiles - Seasonal'!$A$34:$A$38,'[1]Inflow Quantiles - Seasonal'!$B$34:$CW$38))))*1000</f>
        <v>#N/A</v>
      </c>
      <c r="D38" s="42" t="e">
        <f t="array" aca="1" ref="D38" ca="1">IF(D$33 &lt; 1, _xludf.XLOOKUP($B38,'[1]Inflow Quantiles - Seasonal'!$A$34:$A$38,'[1]Inflow Quantiles - Seasonal'!$B$34:$B$38)*D$33, IF(D$33 &gt; 100,_xludf.XLOOKUP($B38,'[1]Inflow Quantiles - Seasonal'!$A$34:$A$38,'[1]Inflow Quantiles - Seasonal'!$CW$34:$CW$38)*D$33/100, _xludf.XLOOKUP(D$33,'[1]Inflow Quantiles - Seasonal'!$B$33:$CW$33, _xludf.XLOOKUP($B38,'[1]Inflow Quantiles - Seasonal'!$A$34:$A$38,'[1]Inflow Quantiles - Seasonal'!$B$34:$CW$38))))*1000</f>
        <v>#NAME?</v>
      </c>
      <c r="E38" s="42" t="e">
        <f t="array" aca="1" ref="E38" ca="1">IF(E$33 &lt; 1, _xludf.XLOOKUP($B38,'[1]Inflow Quantiles - Seasonal'!$A$34:$A$38,'[1]Inflow Quantiles - Seasonal'!$B$34:$B$38)*E$33, IF(E$33 &gt; 100,_xludf.XLOOKUP($B38,'[1]Inflow Quantiles - Seasonal'!$A$34:$A$38,'[1]Inflow Quantiles - Seasonal'!$CW$34:$CW$38)*E$33/100, _xludf.XLOOKUP(E$33,'[1]Inflow Quantiles - Seasonal'!$B$33:$CW$33, _xludf.XLOOKUP($B38,'[1]Inflow Quantiles - Seasonal'!$A$34:$A$38,'[1]Inflow Quantiles - Seasonal'!$B$34:$CW$38))))*1000</f>
        <v>#NAME?</v>
      </c>
      <c r="F38" s="42" t="e">
        <f t="array" aca="1" ref="F38" ca="1">IF(F$33 &lt; 1, _xludf.XLOOKUP($B38,'[1]Inflow Quantiles - Seasonal'!$A$34:$A$38,'[1]Inflow Quantiles - Seasonal'!$B$34:$B$38)*F$33, IF(F$33 &gt; 100,_xludf.XLOOKUP($B38,'[1]Inflow Quantiles - Seasonal'!$A$34:$A$38,'[1]Inflow Quantiles - Seasonal'!$CW$34:$CW$38)*F$33/100, _xludf.XLOOKUP(F$33,'[1]Inflow Quantiles - Seasonal'!$B$33:$CW$33, _xludf.XLOOKUP($B38,'[1]Inflow Quantiles - Seasonal'!$A$34:$A$38,'[1]Inflow Quantiles - Seasonal'!$B$34:$CW$38))))*1000</f>
        <v>#NAME?</v>
      </c>
      <c r="G38" s="8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63"/>
      <c r="B39" s="80"/>
      <c r="C39" s="42" t="e">
        <f t="shared" ref="C39:F39" si="2">SUM(C35:C38)</f>
        <v>#N/A</v>
      </c>
      <c r="D39" s="42" t="e">
        <f t="shared" si="2"/>
        <v>#N/A</v>
      </c>
      <c r="E39" s="42" t="e">
        <f t="shared" ca="1" si="2"/>
        <v>#NAME?</v>
      </c>
      <c r="F39" s="42" t="e">
        <f t="shared" ca="1" si="2"/>
        <v>#NAME?</v>
      </c>
      <c r="G39" s="8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70"/>
      <c r="B40" s="75" t="s">
        <v>37</v>
      </c>
      <c r="C40" s="76"/>
      <c r="D40" s="76"/>
      <c r="E40" s="77"/>
      <c r="F40" s="78"/>
      <c r="G40" s="74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>
      <c r="A41" s="79"/>
      <c r="B41" s="80"/>
      <c r="C41" s="42" t="e" cm="1">
        <f t="array" ref="C41">IF(C$33&lt;1,_xlfn.XLOOKUP($B41,'[1]Inflow Quantiles - Seasonal'!$A$26:$A$29,'[1]Inflow Quantiles - Seasonal'!$B$26:$B$29)*C$33,IF($C$33&gt;100,_xlfn.XLOOKUP($B41,'[1]Inflow Quantiles - Seasonal'!$A$26:$A$29,'[1]Inflow Quantiles - Seasonal'!$CW$26:$CW$29)*C$33/100,_xlfn.XLOOKUP(C$33,'[1]Inflow Quantiles - Seasonal'!$B$25:$CW$25,_xlfn.XLOOKUP(Model!$B41,'[1]Inflow Quantiles - Seasonal'!$A$26:$A$29,'[1]Inflow Quantiles - Seasonal'!$B$26:$CW$29))))*1000</f>
        <v>#N/A</v>
      </c>
      <c r="D41" s="42" t="e">
        <f t="array" aca="1" ref="D41" ca="1">IF(D$33&lt;1,_xludf.XLOOKUP($B41,'[1]Inflow Quantiles - Seasonal'!$A$26:$A$29,'[1]Inflow Quantiles - Seasonal'!$B$26:$B$29)*D$33,IF($C$33&gt;100,_xludf.XLOOKUP($B41,'[1]Inflow Quantiles - Seasonal'!$A$26:$A$29,'[1]Inflow Quantiles - Seasonal'!$CW$26:$CW$29)*D$33/100,_xludf.XLOOKUP(D$33,'[1]Inflow Quantiles - Seasonal'!$B$25:$CW$25,_xludf.XLOOKUP(Model!$B41,'[1]Inflow Quantiles - Seasonal'!$A$26:$A$29,'[1]Inflow Quantiles - Seasonal'!$B$26:$CW$29))))*1000</f>
        <v>#NAME?</v>
      </c>
      <c r="E41" s="42" t="e">
        <f t="array" aca="1" ref="E41" ca="1">IF(E$33&lt;1,_xludf.XLOOKUP($B41,'[1]Inflow Quantiles - Seasonal'!$A$26:$A$29,'[1]Inflow Quantiles - Seasonal'!$B$26:$B$29)*E$33,IF($C$33&gt;100,_xludf.XLOOKUP($B41,'[1]Inflow Quantiles - Seasonal'!$A$26:$A$29,'[1]Inflow Quantiles - Seasonal'!$CW$26:$CW$29)*E$33/100,_xludf.XLOOKUP(E$33,'[1]Inflow Quantiles - Seasonal'!$B$25:$CW$25,_xludf.XLOOKUP(Model!$B41,'[1]Inflow Quantiles - Seasonal'!$A$26:$A$29,'[1]Inflow Quantiles - Seasonal'!$B$26:$CW$29))))*1000</f>
        <v>#NAME?</v>
      </c>
      <c r="F41" s="42" t="e">
        <f t="array" aca="1" ref="F41" ca="1">IF(F$33&lt;1,_xludf.XLOOKUP($B41,'[1]Inflow Quantiles - Seasonal'!$A$26:$A$29,'[1]Inflow Quantiles - Seasonal'!$B$26:$B$29)*F$33,IF($C$33&gt;100,_xludf.XLOOKUP($B41,'[1]Inflow Quantiles - Seasonal'!$A$26:$A$29,'[1]Inflow Quantiles - Seasonal'!$CW$26:$CW$29)*F$33/100,_xludf.XLOOKUP(F$33,'[1]Inflow Quantiles - Seasonal'!$B$25:$CW$25,_xludf.XLOOKUP(Model!$B41,'[1]Inflow Quantiles - Seasonal'!$A$26:$A$29,'[1]Inflow Quantiles - Seasonal'!$B$26:$CW$29))))*1000</f>
        <v>#NAME?</v>
      </c>
      <c r="G41" s="43"/>
      <c r="H41" s="4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81"/>
      <c r="B42" s="80"/>
      <c r="C42" s="42" t="e" cm="1">
        <f t="array" ref="C42">IF(C$33&lt;1,_xlfn.XLOOKUP($B42,'[2]Inflow Quantiles - Seasonal'!$A$26:$A$29,'[1]Inflow Quantiles - Seasonal'!$B$26:$B$29)*C$33,IF($C$33&gt;100,_xlfn.XLOOKUP($B42,'[1]Inflow Quantiles - Seasonal'!$A$26:$A$29,'[1]Inflow Quantiles - Seasonal'!$CW$26:$CW$29)*C$33/100,_xlfn.XLOOKUP(C$33,'[1]Inflow Quantiles - Seasonal'!$B$25:$CW$25,_xlfn.XLOOKUP(Model!$B42,'[1]Inflow Quantiles - Seasonal'!$A$26:$A$29,'[1]Inflow Quantiles - Seasonal'!$B$26:$CW$29))))*1000</f>
        <v>#N/A</v>
      </c>
      <c r="D42" s="42" t="e">
        <f t="array" aca="1" ref="D42" ca="1">IF(D$33&lt;1,_xludf.XLOOKUP($B42,'[1]Inflow Quantiles - Seasonal'!$A$26:$A$29,'[1]Inflow Quantiles - Seasonal'!$B$26:$B$29)*D$33,IF($C$33&gt;100,_xludf.XLOOKUP($B42,'[1]Inflow Quantiles - Seasonal'!$A$26:$A$29,'[1]Inflow Quantiles - Seasonal'!$CW$26:$CW$29)*D$33/100,_xludf.XLOOKUP(D$33,'[1]Inflow Quantiles - Seasonal'!$B$25:$CW$25,_xludf.XLOOKUP(Model!$B42,'[1]Inflow Quantiles - Seasonal'!$A$26:$A$29,'[1]Inflow Quantiles - Seasonal'!$B$26:$CW$29))))*1000</f>
        <v>#NAME?</v>
      </c>
      <c r="E42" s="42" t="e">
        <f t="array" aca="1" ref="E42" ca="1">IF(E$33&lt;1,_xludf.XLOOKUP($B42,'[1]Inflow Quantiles - Seasonal'!$A$26:$A$29,'[1]Inflow Quantiles - Seasonal'!$B$26:$B$29)*E$33,IF($C$33&gt;100,_xludf.XLOOKUP($B42,'[1]Inflow Quantiles - Seasonal'!$A$26:$A$29,'[1]Inflow Quantiles - Seasonal'!$CW$26:$CW$29)*E$33/100,_xludf.XLOOKUP(E$33,'[1]Inflow Quantiles - Seasonal'!$B$25:$CW$25,_xludf.XLOOKUP(Model!$B42,'[1]Inflow Quantiles - Seasonal'!$A$26:$A$29,'[1]Inflow Quantiles - Seasonal'!$B$26:$CW$29))))*1000</f>
        <v>#NAME?</v>
      </c>
      <c r="F42" s="42" t="e">
        <f t="array" aca="1" ref="F42" ca="1">IF(F$33&lt;1,_xludf.XLOOKUP($B42,'[1]Inflow Quantiles - Seasonal'!$A$26:$A$29,'[1]Inflow Quantiles - Seasonal'!$B$26:$B$29)*F$33,IF($C$33&gt;100,_xludf.XLOOKUP($B42,'[1]Inflow Quantiles - Seasonal'!$A$26:$A$29,'[1]Inflow Quantiles - Seasonal'!$CW$26:$CW$29)*F$33/100,_xludf.XLOOKUP(F$33,'[1]Inflow Quantiles - Seasonal'!$B$25:$CW$25,_xludf.XLOOKUP(Model!$B42,'[1]Inflow Quantiles - Seasonal'!$A$26:$A$29,'[1]Inflow Quantiles - Seasonal'!$B$26:$CW$29))))*1000</f>
        <v>#NAME?</v>
      </c>
      <c r="G42" s="8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63"/>
      <c r="B43" s="80"/>
      <c r="C43" s="42" t="e" cm="1">
        <f t="array" ref="C43">IF(C$33&lt;1,_xlfn.XLOOKUP($B43,'[1]Inflow Quantiles - Seasonal'!$A$26:$A$29,'[1]Inflow Quantiles - Seasonal'!$B$26:$B$29)*C$33,IF($C$33&gt;100,_xlfn.XLOOKUP($B43,'[1]Inflow Quantiles - Seasonal'!$A$26:$A$29,'[1]Inflow Quantiles - Seasonal'!$CW$26:$CW$29)*C$33/100,_xlfn.XLOOKUP(C$33,'[1]Inflow Quantiles - Seasonal'!$B$25:$CW$25,_xlfn.XLOOKUP(Model!$B43,'[1]Inflow Quantiles - Seasonal'!$A$26:$A$29,'[1]Inflow Quantiles - Seasonal'!$B$26:$CW$29))))*1000</f>
        <v>#N/A</v>
      </c>
      <c r="D43" s="42" t="e">
        <f t="array" aca="1" ref="D43" ca="1">IF(D$33&lt;1,_xludf.XLOOKUP($B43,'[1]Inflow Quantiles - Seasonal'!$A$26:$A$29,'[1]Inflow Quantiles - Seasonal'!$B$26:$B$29)*D$33,IF($C$33&gt;100,_xludf.XLOOKUP($B43,'[1]Inflow Quantiles - Seasonal'!$A$26:$A$29,'[1]Inflow Quantiles - Seasonal'!$CW$26:$CW$29)*D$33/100,_xludf.XLOOKUP(D$33,'[1]Inflow Quantiles - Seasonal'!$B$25:$CW$25,_xludf.XLOOKUP(Model!$B43,'[1]Inflow Quantiles - Seasonal'!$A$26:$A$29,'[1]Inflow Quantiles - Seasonal'!$B$26:$CW$29))))*1000</f>
        <v>#NAME?</v>
      </c>
      <c r="E43" s="42" t="e">
        <f t="array" aca="1" ref="E43" ca="1">IF(E$33&lt;1,_xludf.XLOOKUP($B43,'[1]Inflow Quantiles - Seasonal'!$A$26:$A$29,'[1]Inflow Quantiles - Seasonal'!$B$26:$B$29)*E$33,IF($C$33&gt;100,_xludf.XLOOKUP($B43,'[1]Inflow Quantiles - Seasonal'!$A$26:$A$29,'[1]Inflow Quantiles - Seasonal'!$CW$26:$CW$29)*E$33/100,_xludf.XLOOKUP(E$33,'[1]Inflow Quantiles - Seasonal'!$B$25:$CW$25,_xludf.XLOOKUP(Model!$B43,'[1]Inflow Quantiles - Seasonal'!$A$26:$A$29,'[1]Inflow Quantiles - Seasonal'!$B$26:$CW$29))))*1000</f>
        <v>#NAME?</v>
      </c>
      <c r="F43" s="42" t="e">
        <f t="array" aca="1" ref="F43" ca="1">IF(F$33&lt;1,_xludf.XLOOKUP($B43,'[1]Inflow Quantiles - Seasonal'!$A$26:$A$29,'[1]Inflow Quantiles - Seasonal'!$B$26:$B$29)*F$33,IF($C$33&gt;100,_xludf.XLOOKUP($B43,'[1]Inflow Quantiles - Seasonal'!$A$26:$A$29,'[1]Inflow Quantiles - Seasonal'!$CW$26:$CW$29)*F$33/100,_xludf.XLOOKUP(F$33,'[1]Inflow Quantiles - Seasonal'!$B$25:$CW$25,_xludf.XLOOKUP(Model!$B43,'[1]Inflow Quantiles - Seasonal'!$A$26:$A$29,'[1]Inflow Quantiles - Seasonal'!$B$26:$CW$29))))*1000</f>
        <v>#NAME?</v>
      </c>
      <c r="G43" s="8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63"/>
      <c r="B44" s="80"/>
      <c r="C44" s="42" t="e" cm="1">
        <f t="array" ref="C44">IF(C$33&lt;1,_xlfn.XLOOKUP($B44,'[1]Inflow Quantiles - Seasonal'!$A$26:$A$29,'[1]Inflow Quantiles - Seasonal'!$B$26:$B$29)*C$33,IF($C$33&gt;100,_xlfn.XLOOKUP($B44,'[1]Inflow Quantiles - Seasonal'!$A$26:$A$29,'[1]Inflow Quantiles - Seasonal'!$CW$26:$CW$29)*C$33/100,_xlfn.XLOOKUP(C$33,'[1]Inflow Quantiles - Seasonal'!$B$25:$CW$25,_xlfn.XLOOKUP(Model!$B44,'[1]Inflow Quantiles - Seasonal'!$A$26:$A$29,'[1]Inflow Quantiles - Seasonal'!$B$26:$CW$29))))*1000</f>
        <v>#N/A</v>
      </c>
      <c r="D44" s="42" t="e">
        <f t="array" aca="1" ref="D44" ca="1">IF(D$33&lt;1,_xludf.XLOOKUP($B44,'[1]Inflow Quantiles - Seasonal'!$A$26:$A$29,'[1]Inflow Quantiles - Seasonal'!$B$26:$B$29)*D$33,IF($C$33&gt;100,_xludf.XLOOKUP($B44,'[1]Inflow Quantiles - Seasonal'!$A$26:$A$29,'[1]Inflow Quantiles - Seasonal'!$CW$26:$CW$29)*D$33/100,_xludf.XLOOKUP(D$33,'[1]Inflow Quantiles - Seasonal'!$B$25:$CW$25,_xludf.XLOOKUP(Model!$B44,'[1]Inflow Quantiles - Seasonal'!$A$26:$A$29,'[1]Inflow Quantiles - Seasonal'!$B$26:$CW$29))))*1000</f>
        <v>#NAME?</v>
      </c>
      <c r="E44" s="42" t="e">
        <f t="array" aca="1" ref="E44" ca="1">IF(E$33&lt;1,_xludf.XLOOKUP($B44,'[1]Inflow Quantiles - Seasonal'!$A$26:$A$29,'[1]Inflow Quantiles - Seasonal'!$B$26:$B$29)*E$33,IF($C$33&gt;100,_xludf.XLOOKUP($B44,'[1]Inflow Quantiles - Seasonal'!$A$26:$A$29,'[1]Inflow Quantiles - Seasonal'!$CW$26:$CW$29)*E$33/100,_xludf.XLOOKUP(E$33,'[1]Inflow Quantiles - Seasonal'!$B$25:$CW$25,_xludf.XLOOKUP(Model!$B44,'[1]Inflow Quantiles - Seasonal'!$A$26:$A$29,'[1]Inflow Quantiles - Seasonal'!$B$26:$CW$29))))*1000</f>
        <v>#NAME?</v>
      </c>
      <c r="F44" s="42" t="e">
        <f t="array" aca="1" ref="F44" ca="1">IF(F$33&lt;1,_xludf.XLOOKUP($B44,'[1]Inflow Quantiles - Seasonal'!$A$26:$A$29,'[1]Inflow Quantiles - Seasonal'!$B$26:$B$29)*F$33,IF($C$33&gt;100,_xludf.XLOOKUP($B44,'[1]Inflow Quantiles - Seasonal'!$A$26:$A$29,'[1]Inflow Quantiles - Seasonal'!$CW$26:$CW$29)*F$33/100,_xludf.XLOOKUP(F$33,'[1]Inflow Quantiles - Seasonal'!$B$25:$CW$25,_xludf.XLOOKUP(Model!$B44,'[1]Inflow Quantiles - Seasonal'!$A$26:$A$29,'[1]Inflow Quantiles - Seasonal'!$B$26:$CW$29))))*1000</f>
        <v>#NAME?</v>
      </c>
      <c r="G44" s="8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63"/>
      <c r="B45" s="80"/>
      <c r="C45" s="42" t="e">
        <f t="shared" ref="C45:F45" si="3">SUM(C41:C44)</f>
        <v>#N/A</v>
      </c>
      <c r="D45" s="42" t="e">
        <f t="shared" ca="1" si="3"/>
        <v>#NAME?</v>
      </c>
      <c r="E45" s="42" t="e">
        <f t="shared" ca="1" si="3"/>
        <v>#NAME?</v>
      </c>
      <c r="F45" s="42" t="e">
        <f t="shared" ca="1" si="3"/>
        <v>#NAME?</v>
      </c>
      <c r="G45" s="8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80"/>
      <c r="C46" s="42"/>
      <c r="D46" s="42"/>
      <c r="E46" s="42"/>
      <c r="F46" s="42"/>
      <c r="G46" s="8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84" t="s">
        <v>38</v>
      </c>
      <c r="B47" s="85" t="s">
        <v>39</v>
      </c>
      <c r="C47" s="86" t="s">
        <v>22</v>
      </c>
      <c r="D47" s="86" t="s">
        <v>23</v>
      </c>
      <c r="E47" s="85" t="s">
        <v>24</v>
      </c>
      <c r="F47" s="85" t="s">
        <v>25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87" t="s">
        <v>8</v>
      </c>
      <c r="C48" s="59" t="e">
        <f>C44</f>
        <v>#N/A</v>
      </c>
      <c r="D48" s="59" t="e">
        <f ca="1">D44</f>
        <v>#NAME?</v>
      </c>
      <c r="E48" s="59" t="e">
        <f t="shared" ref="E48:F48" ca="1" si="4">E44</f>
        <v>#NAME?</v>
      </c>
      <c r="F48" s="59" t="e">
        <f t="shared" ca="1" si="4"/>
        <v>#NAME?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88" t="s">
        <v>9</v>
      </c>
      <c r="C49" s="59" t="e">
        <f>SUM(C41:C42)</f>
        <v>#N/A</v>
      </c>
      <c r="D49" s="59" t="e">
        <f t="shared" ref="D49:F49" ca="1" si="5">SUM(D41:D42)</f>
        <v>#NAME?</v>
      </c>
      <c r="E49" s="59" t="e">
        <f t="shared" ca="1" si="5"/>
        <v>#NAME?</v>
      </c>
      <c r="F49" s="59" t="e">
        <f t="shared" ca="1" si="5"/>
        <v>#NAME?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87" t="s">
        <v>10</v>
      </c>
      <c r="C50" s="59" t="e">
        <f t="shared" ref="C50:F50" si="6">C43</f>
        <v>#N/A</v>
      </c>
      <c r="D50" s="59" t="e">
        <f t="shared" ca="1" si="6"/>
        <v>#NAME?</v>
      </c>
      <c r="E50" s="59" t="e">
        <f t="shared" ca="1" si="6"/>
        <v>#NAME?</v>
      </c>
      <c r="F50" s="59" t="e">
        <f t="shared" ca="1" si="6"/>
        <v>#NAME?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6.5" customHeight="1">
      <c r="A51" s="4"/>
      <c r="B51" s="89" t="s">
        <v>11</v>
      </c>
      <c r="C51" s="59">
        <v>0</v>
      </c>
      <c r="D51" s="59">
        <v>0</v>
      </c>
      <c r="E51" s="59">
        <v>0</v>
      </c>
      <c r="F51" s="59">
        <v>0</v>
      </c>
      <c r="G51" s="3"/>
      <c r="H51" s="9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6.5" customHeight="1">
      <c r="A52" s="4"/>
      <c r="B52" s="13" t="s">
        <v>12</v>
      </c>
      <c r="C52" s="59">
        <v>0</v>
      </c>
      <c r="D52" s="59">
        <v>0</v>
      </c>
      <c r="E52" s="59">
        <v>0</v>
      </c>
      <c r="F52" s="59">
        <v>0</v>
      </c>
      <c r="G52" s="3"/>
      <c r="H52" s="9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56"/>
      <c r="B53" s="91"/>
      <c r="C53" s="83"/>
      <c r="D53" s="83"/>
      <c r="E53" s="83"/>
      <c r="F53" s="8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thickBot="1">
      <c r="A54" s="11">
        <v>4</v>
      </c>
      <c r="B54" s="92" t="s">
        <v>40</v>
      </c>
      <c r="C54" s="92"/>
      <c r="D54" s="19"/>
      <c r="E54" s="93"/>
      <c r="F54" s="93"/>
      <c r="G54" s="94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</row>
    <row r="55" spans="1:25" ht="15.75" customHeight="1">
      <c r="A55" s="96"/>
      <c r="B55" s="97"/>
      <c r="C55" s="98" t="s">
        <v>22</v>
      </c>
      <c r="D55" s="99" t="s">
        <v>23</v>
      </c>
      <c r="E55" s="99" t="s">
        <v>24</v>
      </c>
      <c r="F55" s="100" t="s">
        <v>25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thickBot="1">
      <c r="A56" s="102"/>
      <c r="B56" s="4"/>
      <c r="C56" s="4"/>
      <c r="D56" s="9"/>
      <c r="E56" s="5"/>
      <c r="F56" s="1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96"/>
      <c r="B57" s="96"/>
      <c r="C57" s="98" t="s">
        <v>22</v>
      </c>
      <c r="D57" s="99" t="s">
        <v>23</v>
      </c>
      <c r="E57" s="99" t="s">
        <v>24</v>
      </c>
      <c r="F57" s="100" t="s">
        <v>25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thickBot="1">
      <c r="A58" s="4"/>
      <c r="B58" s="4"/>
      <c r="C58" s="94"/>
      <c r="D58" s="43"/>
      <c r="E58" s="5"/>
      <c r="F58" s="5"/>
      <c r="G58" s="10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96"/>
      <c r="B59" s="105"/>
      <c r="C59" s="106" t="s">
        <v>22</v>
      </c>
      <c r="D59" s="107" t="s">
        <v>23</v>
      </c>
      <c r="E59" s="107" t="s">
        <v>24</v>
      </c>
      <c r="F59" s="108" t="s">
        <v>25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thickBot="1">
      <c r="A60" s="4"/>
      <c r="B60" s="4"/>
      <c r="C60" s="94"/>
      <c r="D60" s="43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96"/>
      <c r="B61" s="105"/>
      <c r="C61" s="106" t="s">
        <v>22</v>
      </c>
      <c r="D61" s="107" t="s">
        <v>23</v>
      </c>
      <c r="E61" s="107" t="s">
        <v>24</v>
      </c>
      <c r="F61" s="108" t="s">
        <v>25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94"/>
      <c r="D62" s="43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109"/>
      <c r="B63" s="110"/>
      <c r="C63" s="111" t="s">
        <v>22</v>
      </c>
      <c r="D63" s="112" t="s">
        <v>23</v>
      </c>
      <c r="E63" s="112" t="s">
        <v>24</v>
      </c>
      <c r="F63" s="112" t="s">
        <v>25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102"/>
      <c r="B64" s="4"/>
      <c r="C64" s="94"/>
      <c r="D64" s="43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114" t="s">
        <v>42</v>
      </c>
      <c r="C65" s="115" t="s">
        <v>22</v>
      </c>
      <c r="D65" s="116" t="s">
        <v>23</v>
      </c>
      <c r="E65" s="116" t="s">
        <v>43</v>
      </c>
      <c r="F65" s="117" t="s">
        <v>44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118"/>
      <c r="B66" s="16" t="s">
        <v>45</v>
      </c>
      <c r="C66" s="119" t="e">
        <f>SUM(C31,C39,C45)-C32-C38-C37</f>
        <v>#N/A</v>
      </c>
      <c r="D66" s="119" t="e">
        <f ca="1">SUM(D31,D39,D45)-D32-D38-D37</f>
        <v>#N/A</v>
      </c>
      <c r="E66" s="119" t="e">
        <f ca="1">SUM(E31,E39,E45)-E32-E38-E37</f>
        <v>#N/A</v>
      </c>
      <c r="F66" s="119" t="e">
        <f ca="1">SUM(F31,F39,F45)-F32-F38-F37</f>
        <v>#N/A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5" customHeight="1">
      <c r="A67" s="56"/>
      <c r="B67" s="120" t="s">
        <v>46</v>
      </c>
      <c r="C67" s="121"/>
      <c r="D67" s="121"/>
      <c r="E67" s="121"/>
      <c r="F67" s="12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56"/>
      <c r="B68" s="16" t="s">
        <v>8</v>
      </c>
      <c r="C68" s="119" t="e">
        <f>-#REF!</f>
        <v>#REF!</v>
      </c>
      <c r="D68" s="119" t="e">
        <f>-#REF!</f>
        <v>#REF!</v>
      </c>
      <c r="E68" s="119" t="e">
        <f>-#REF!</f>
        <v>#REF!</v>
      </c>
      <c r="F68" s="119" t="e">
        <f>-#REF!</f>
        <v>#REF!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56"/>
      <c r="B69" s="16" t="s">
        <v>9</v>
      </c>
      <c r="C69" s="119" t="e">
        <f>-#REF!</f>
        <v>#REF!</v>
      </c>
      <c r="D69" s="119" t="e">
        <f>-#REF!</f>
        <v>#REF!</v>
      </c>
      <c r="E69" s="119" t="e">
        <f>-#REF!</f>
        <v>#REF!</v>
      </c>
      <c r="F69" s="119" t="e">
        <f>-#REF!</f>
        <v>#REF!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56"/>
      <c r="B70" s="16" t="s">
        <v>10</v>
      </c>
      <c r="C70" s="119" t="e">
        <f>-#REF!</f>
        <v>#REF!</v>
      </c>
      <c r="D70" s="119" t="e">
        <f>-#REF!</f>
        <v>#REF!</v>
      </c>
      <c r="E70" s="119" t="e">
        <f>-#REF!</f>
        <v>#REF!</v>
      </c>
      <c r="F70" s="119" t="e">
        <f>-#REF!</f>
        <v>#REF!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56"/>
      <c r="B71" s="16" t="s">
        <v>11</v>
      </c>
      <c r="C71" s="119" t="e">
        <f>#REF!</f>
        <v>#REF!</v>
      </c>
      <c r="D71" s="119" t="e">
        <f>#REF!</f>
        <v>#REF!</v>
      </c>
      <c r="E71" s="119" t="e">
        <f>#REF!</f>
        <v>#REF!</v>
      </c>
      <c r="F71" s="119" t="e">
        <f>#REF!</f>
        <v>#REF!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56"/>
      <c r="B72" s="16" t="s">
        <v>12</v>
      </c>
      <c r="C72" s="119" t="e">
        <f>-#REF!</f>
        <v>#REF!</v>
      </c>
      <c r="D72" s="119" t="e">
        <f>-#REF!</f>
        <v>#REF!</v>
      </c>
      <c r="E72" s="119" t="e">
        <f>-#REF!</f>
        <v>#REF!</v>
      </c>
      <c r="F72" s="119" t="e">
        <f>-#REF!</f>
        <v>#REF!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56"/>
      <c r="B73" s="16"/>
      <c r="C73" s="119"/>
      <c r="D73" s="119"/>
      <c r="E73" s="119"/>
      <c r="F73" s="11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5" customHeight="1">
      <c r="A74" s="56"/>
      <c r="B74" s="120" t="s">
        <v>47</v>
      </c>
      <c r="C74" s="121"/>
      <c r="D74" s="121"/>
      <c r="E74" s="121"/>
      <c r="F74" s="12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56"/>
      <c r="B75" s="16" t="s">
        <v>8</v>
      </c>
      <c r="C75" s="119">
        <f>(C$33/100)*_xlfn.XLOOKUP($B75,'[1]Non Ag Water Use - Tiers'!$A$2:$A$9,'[1]Non Ag Water Use - Tiers'!$C$2:$C$9)</f>
        <v>0</v>
      </c>
      <c r="D75" s="119" t="e">
        <f t="array" aca="1" ref="D75" ca="1">(D$33/100)*_xludf.XLOOKUP($B75,'[1]Non Ag Water Use - Tiers'!$A$2:$A$9,'[1]Non Ag Water Use - Tiers'!$C$2:$C$9)</f>
        <v>#NAME?</v>
      </c>
      <c r="E75" s="119" t="e">
        <f t="array" aca="1" ref="E75" ca="1">(E$33/100)*_xludf.XLOOKUP($B75,'[1]Non Ag Water Use - Tiers'!$A$2:$A$9,'[1]Non Ag Water Use - Tiers'!$C$2:$C$9)</f>
        <v>#NAME?</v>
      </c>
      <c r="F75" s="119" t="e">
        <f t="array" aca="1" ref="F75" ca="1">(F$33/100)*_xludf.XLOOKUP($B75,'[1]Non Ag Water Use - Tiers'!$A$2:$A$9,'[1]Non Ag Water Use - Tiers'!$C$2:$C$9)</f>
        <v>#NAME?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56"/>
      <c r="B76" s="16" t="s">
        <v>9</v>
      </c>
      <c r="C76" s="119">
        <f>(C$33/100)*_xlfn.XLOOKUP($B76,'[1]Non Ag Water Use - Tiers'!$A$2:$A$9,'[1]Non Ag Water Use - Tiers'!$C$2:$C$9)</f>
        <v>0</v>
      </c>
      <c r="D76" s="119" t="e">
        <f t="array" aca="1" ref="D76" ca="1">(D$33/100)*_xludf.XLOOKUP($B76,'[1]Non Ag Water Use - Tiers'!$A$2:$A$9,'[1]Non Ag Water Use - Tiers'!$C$2:$C$9)</f>
        <v>#NAME?</v>
      </c>
      <c r="E76" s="119" t="e">
        <f t="array" aca="1" ref="E76" ca="1">(E$33/100)*_xludf.XLOOKUP($B76,'[1]Non Ag Water Use - Tiers'!$A$2:$A$9,'[1]Non Ag Water Use - Tiers'!$C$2:$C$9)</f>
        <v>#NAME?</v>
      </c>
      <c r="F76" s="119" t="e">
        <f t="array" aca="1" ref="F76" ca="1">(F$33/100)*_xludf.XLOOKUP($B76,'[1]Non Ag Water Use - Tiers'!$A$2:$A$9,'[1]Non Ag Water Use - Tiers'!$C$2:$C$9)</f>
        <v>#NAME?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56"/>
      <c r="B77" s="16" t="s">
        <v>10</v>
      </c>
      <c r="C77" s="119">
        <f>(C$33/100)*_xlfn.XLOOKUP($B77,'[1]Non Ag Water Use - Tiers'!$A$2:$A$9,'[1]Non Ag Water Use - Tiers'!$C$2:$C$9)</f>
        <v>0</v>
      </c>
      <c r="D77" s="119" t="e">
        <f t="array" aca="1" ref="D77" ca="1">(D$33/100)*_xludf.XLOOKUP($B77,'[1]Non Ag Water Use - Tiers'!$A$2:$A$9,'[1]Non Ag Water Use - Tiers'!$C$2:$C$9)</f>
        <v>#NAME?</v>
      </c>
      <c r="E77" s="119" t="e">
        <f t="array" aca="1" ref="E77" ca="1">(E$33/100)*_xludf.XLOOKUP($B77,'[1]Non Ag Water Use - Tiers'!$A$2:$A$9,'[1]Non Ag Water Use - Tiers'!$C$2:$C$9)</f>
        <v>#NAME?</v>
      </c>
      <c r="F77" s="119" t="e">
        <f t="array" aca="1" ref="F77" ca="1">(F$33/100)*_xludf.XLOOKUP($B77,'[1]Non Ag Water Use - Tiers'!$A$2:$A$9,'[1]Non Ag Water Use - Tiers'!$C$2:$C$9)</f>
        <v>#NAME?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56"/>
      <c r="B78" s="16" t="s">
        <v>11</v>
      </c>
      <c r="C78" s="119">
        <f>(C$33/100)*_xlfn.XLOOKUP($B78,'[1]Non Ag Water Use - Tiers'!$A$2:$A$9,'[1]Non Ag Water Use - Tiers'!$C$2:$C$9)</f>
        <v>0</v>
      </c>
      <c r="D78" s="119" t="e">
        <f t="array" aca="1" ref="D78" ca="1">(D$33/100)*_xludf.XLOOKUP($B78,'[1]Non Ag Water Use - Tiers'!$A$2:$A$9,'[1]Non Ag Water Use - Tiers'!$C$2:$C$9)</f>
        <v>#NAME?</v>
      </c>
      <c r="E78" s="119" t="e">
        <f t="array" aca="1" ref="E78" ca="1">(E$33/100)*_xludf.XLOOKUP($B78,'[1]Non Ag Water Use - Tiers'!$A$2:$A$9,'[1]Non Ag Water Use - Tiers'!$C$2:$C$9)</f>
        <v>#NAME?</v>
      </c>
      <c r="F78" s="119" t="e">
        <f t="array" aca="1" ref="F78" ca="1">(F$33/100)*_xludf.XLOOKUP($B78,'[1]Non Ag Water Use - Tiers'!$A$2:$A$9,'[1]Non Ag Water Use - Tiers'!$C$2:$C$9)</f>
        <v>#NAME?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56"/>
      <c r="B79" s="16" t="s">
        <v>12</v>
      </c>
      <c r="C79" s="119">
        <f>(C$33/100)*_xlfn.XLOOKUP($B79,'[1]Non Ag Water Use - Tiers'!$A$2:$A$9,'[1]Non Ag Water Use - Tiers'!$C$2:$C$9)</f>
        <v>0</v>
      </c>
      <c r="D79" s="119" t="e">
        <f t="array" aca="1" ref="D79" ca="1">(D$33/100)*_xludf.XLOOKUP($B79,'[1]Non Ag Water Use - Tiers'!$A$2:$A$9,'[1]Non Ag Water Use - Tiers'!$C$2:$C$9)</f>
        <v>#NAME?</v>
      </c>
      <c r="E79" s="119" t="e">
        <f t="array" aca="1" ref="E79" ca="1">(E$33/100)*_xludf.XLOOKUP($B79,'[1]Non Ag Water Use - Tiers'!$A$2:$A$9,'[1]Non Ag Water Use - Tiers'!$C$2:$C$9)</f>
        <v>#NAME?</v>
      </c>
      <c r="F79" s="119" t="e">
        <f t="array" aca="1" ref="F79" ca="1">(F$33/100)*_xludf.XLOOKUP($B79,'[1]Non Ag Water Use - Tiers'!$A$2:$A$9,'[1]Non Ag Water Use - Tiers'!$C$2:$C$9)</f>
        <v>#NAME?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103" t="s">
        <v>48</v>
      </c>
      <c r="C80" s="101">
        <f>SUM(C75:C79)</f>
        <v>0</v>
      </c>
      <c r="D80" s="101" t="e">
        <f t="shared" ref="D80:F80" ca="1" si="7">SUM(D75:D79)</f>
        <v>#NAME?</v>
      </c>
      <c r="E80" s="101" t="e">
        <f t="shared" ca="1" si="7"/>
        <v>#NAME?</v>
      </c>
      <c r="F80" s="101" t="e">
        <f t="shared" ca="1" si="7"/>
        <v>#NAME?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103"/>
      <c r="C81" s="101"/>
      <c r="D81" s="113"/>
      <c r="E81" s="113"/>
      <c r="F81" s="1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" customHeight="1">
      <c r="A82" s="56"/>
      <c r="B82" s="120" t="s">
        <v>49</v>
      </c>
      <c r="C82" s="121"/>
      <c r="D82" s="121"/>
      <c r="E82" s="121"/>
      <c r="F82" s="12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103" t="s">
        <v>50</v>
      </c>
      <c r="C83" s="41">
        <f>SUMIFS(C$56:C$59,$B$56:$B$59,#REF!,C$56:C$59,"&gt;  0")</f>
        <v>0</v>
      </c>
      <c r="D83" s="41">
        <f>SUMIFS(D$56:D$59,$B$56:$B$59,#REF!,D$56:D$59,"&gt;  0")</f>
        <v>0</v>
      </c>
      <c r="E83" s="41">
        <f>SUMIFS(E$56:E$59,$B$56:$B$59,#REF!,E$56:E$59,"&gt;  0")</f>
        <v>0</v>
      </c>
      <c r="F83" s="41">
        <f>SUMIFS(F$56:F$59,$B$56:$B$59,#REF!,F$56:F$59,"&gt;  0")</f>
        <v>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103" t="s">
        <v>51</v>
      </c>
      <c r="C84" s="41" t="e">
        <f t="shared" ref="C84:F84" si="8">SUM(C69,C72,C71)</f>
        <v>#REF!</v>
      </c>
      <c r="D84" s="41" t="e">
        <f t="shared" si="8"/>
        <v>#REF!</v>
      </c>
      <c r="E84" s="41" t="e">
        <f t="shared" si="8"/>
        <v>#REF!</v>
      </c>
      <c r="F84" s="41" t="e">
        <f t="shared" si="8"/>
        <v>#REF!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16" t="s">
        <v>52</v>
      </c>
      <c r="C85" s="41" t="e">
        <f t="shared" ref="C85:F85" si="9">C83-C84</f>
        <v>#REF!</v>
      </c>
      <c r="D85" s="41" t="e">
        <f t="shared" si="9"/>
        <v>#REF!</v>
      </c>
      <c r="E85" s="41" t="e">
        <f t="shared" si="9"/>
        <v>#REF!</v>
      </c>
      <c r="F85" s="41" t="e">
        <f t="shared" si="9"/>
        <v>#REF!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103" t="s">
        <v>41</v>
      </c>
      <c r="C86" s="113" t="e">
        <f>-(SUMIF($B$55:$B$59,#REF!,C$55:C$59)+SUM(#REF!,#REF!))</f>
        <v>#REF!</v>
      </c>
      <c r="D86" s="113" t="e">
        <f>-(SUMIF($B$55:$B$59,#REF!,D$55:D$59)+SUM(#REF!,#REF!))</f>
        <v>#REF!</v>
      </c>
      <c r="E86" s="113" t="e">
        <f>-(SUMIF($B$55:$B$59,#REF!,E$55:E$59)+SUM(#REF!,#REF!))</f>
        <v>#REF!</v>
      </c>
      <c r="F86" s="113" t="e">
        <f>-(SUMIF($B$55:$B$59,#REF!,F$55:F$59)+SUM(#REF!,#REF!))</f>
        <v>#REF!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122"/>
      <c r="D87" s="9"/>
      <c r="E87" s="5"/>
      <c r="F87" s="1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123" t="s">
        <v>53</v>
      </c>
      <c r="C88" s="124" t="s">
        <v>22</v>
      </c>
      <c r="D88" s="124" t="s">
        <v>23</v>
      </c>
      <c r="E88" s="124" t="s">
        <v>43</v>
      </c>
      <c r="F88" s="125" t="s">
        <v>44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16" t="s">
        <v>54</v>
      </c>
      <c r="C89" s="41" t="e">
        <f t="shared" ref="C89:F89" si="10">C66</f>
        <v>#N/A</v>
      </c>
      <c r="D89" s="41" t="e">
        <f t="shared" ca="1" si="10"/>
        <v>#N/A</v>
      </c>
      <c r="E89" s="41" t="e">
        <f t="shared" ca="1" si="10"/>
        <v>#N/A</v>
      </c>
      <c r="F89" s="41" t="e">
        <f t="shared" ca="1" si="10"/>
        <v>#N/A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35.25" customHeight="1">
      <c r="A90" s="4"/>
      <c r="B90" s="16" t="s">
        <v>55</v>
      </c>
      <c r="C90" s="41" t="e">
        <f>(C89+C85-C75)*'[1]Inflow Quantiles - Seasonal'!$B$43</f>
        <v>#N/A</v>
      </c>
      <c r="D90" s="41" t="e">
        <f ca="1">(D89+D85-D75)*'[1]Inflow Quantiles - Seasonal'!$B$43</f>
        <v>#N/A</v>
      </c>
      <c r="E90" s="41" t="e">
        <f ca="1">(E89+E85-E75)*'[1]Inflow Quantiles - Seasonal'!$B$43</f>
        <v>#N/A</v>
      </c>
      <c r="F90" s="41" t="e">
        <f ca="1">(F89+F85-F75)*'[1]Inflow Quantiles - Seasonal'!$B$43</f>
        <v>#N/A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35.25" customHeight="1">
      <c r="A91" s="4"/>
      <c r="B91" s="16" t="s">
        <v>56</v>
      </c>
      <c r="C91" s="41" t="e">
        <f>ROUND(IF((C90)&lt; ($G$14),(C90), IF((C90) &gt;($G$14), $G$14,0)),0)</f>
        <v>#N/A</v>
      </c>
      <c r="D91" s="41" t="e">
        <f ca="1">ROUND(IF((D90)&lt; ($G$14),(D90), IF((D90) &gt;($G$14), $G$14,0)),0)</f>
        <v>#N/A</v>
      </c>
      <c r="E91" s="41" t="e">
        <f ca="1">ROUND(IF((E90)&lt; ($G$14),(E90), IF((E90) &gt;($G$14), $G$14,0)),0)</f>
        <v>#N/A</v>
      </c>
      <c r="F91" s="41" t="e">
        <f ca="1">ROUND(IF((F90)&lt; ($G$14),(F90), IF((F90) &gt;($G$14), $G$14,0)),0)</f>
        <v>#N/A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8" customHeight="1">
      <c r="A92" s="4"/>
      <c r="B92" s="126" t="s">
        <v>57</v>
      </c>
      <c r="C92" s="41"/>
      <c r="D92" s="41"/>
      <c r="E92" s="41"/>
      <c r="F92" s="4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127"/>
      <c r="C93" s="41" t="e">
        <f>IF(C$91&gt;=$G$14,$C$14, ($C$14/$G$14)*C$91)</f>
        <v>#N/A</v>
      </c>
      <c r="D93" s="41" t="e">
        <f ca="1">IF(D$91&gt;=$G$14,$C$14, ($C$14/$G$14)*D$91)</f>
        <v>#N/A</v>
      </c>
      <c r="E93" s="41" t="e">
        <f ca="1">IF(E$91&gt;=$G$14,$C$14, ($C$14/$G$14)*E$91)</f>
        <v>#N/A</v>
      </c>
      <c r="F93" s="41" t="e">
        <f ca="1">IF(F$91&gt;=$G$14,$C$14, ($C$14/$G$14)*F$91)</f>
        <v>#N/A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127"/>
      <c r="C94" s="41" t="e">
        <f>IF(C$91&gt;= $G$14,$D$14, ($D$14/$G$14)*C$91)</f>
        <v>#N/A</v>
      </c>
      <c r="D94" s="41" t="e">
        <f ca="1">IF(D$91&gt;= $G$14,$D$14, ($D$14/$G$14)*D$91)</f>
        <v>#N/A</v>
      </c>
      <c r="E94" s="41" t="e">
        <f ca="1">IF(E$91&gt;= $G$14,$D$14, ($D$14/$G$14)*E$91)</f>
        <v>#N/A</v>
      </c>
      <c r="F94" s="41" t="e">
        <f ca="1">IF(F$91&gt;= $G$14,$D$14, ($D$14/$G$14)*F$91)</f>
        <v>#N/A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126" t="s">
        <v>58</v>
      </c>
      <c r="C95" s="126"/>
      <c r="D95" s="128"/>
      <c r="E95" s="128"/>
      <c r="F95" s="12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129" t="s">
        <v>59</v>
      </c>
      <c r="C96" s="41" t="e">
        <f t="shared" ref="C96:F96" si="11">C93-$C$17</f>
        <v>#N/A</v>
      </c>
      <c r="D96" s="41" t="e">
        <f t="shared" ca="1" si="11"/>
        <v>#N/A</v>
      </c>
      <c r="E96" s="41" t="e">
        <f t="shared" ca="1" si="11"/>
        <v>#N/A</v>
      </c>
      <c r="F96" s="41" t="e">
        <f t="shared" ca="1" si="11"/>
        <v>#N/A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127"/>
      <c r="C97" s="41" t="e">
        <f t="shared" ref="C97:F97" si="12">C94-$D$17</f>
        <v>#N/A</v>
      </c>
      <c r="D97" s="41" t="e">
        <f t="shared" ca="1" si="12"/>
        <v>#N/A</v>
      </c>
      <c r="E97" s="41" t="e">
        <f t="shared" ca="1" si="12"/>
        <v>#N/A</v>
      </c>
      <c r="F97" s="41" t="e">
        <f t="shared" ca="1" si="12"/>
        <v>#N/A</v>
      </c>
      <c r="G97" s="9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130" t="s">
        <v>60</v>
      </c>
      <c r="C98" s="131"/>
      <c r="D98" s="131"/>
      <c r="E98" s="131"/>
      <c r="F98" s="13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132"/>
      <c r="C99" s="131">
        <f t="shared" ref="C99:F99" si="13">$C$14</f>
        <v>0</v>
      </c>
      <c r="D99" s="131">
        <f t="shared" si="13"/>
        <v>0</v>
      </c>
      <c r="E99" s="131">
        <f t="shared" si="13"/>
        <v>0</v>
      </c>
      <c r="F99" s="131">
        <f t="shared" si="13"/>
        <v>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132"/>
      <c r="C100" s="131">
        <f t="shared" ref="C100:F100" si="14">$D$14</f>
        <v>0</v>
      </c>
      <c r="D100" s="131">
        <f t="shared" si="14"/>
        <v>0</v>
      </c>
      <c r="E100" s="131">
        <f t="shared" si="14"/>
        <v>0</v>
      </c>
      <c r="F100" s="131">
        <f t="shared" si="14"/>
        <v>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16" t="s">
        <v>61</v>
      </c>
      <c r="C101" s="41" t="e">
        <f t="shared" ref="C101:F101" si="15">C90-C91</f>
        <v>#N/A</v>
      </c>
      <c r="D101" s="41" t="e">
        <f t="shared" ca="1" si="15"/>
        <v>#N/A</v>
      </c>
      <c r="E101" s="41" t="e">
        <f t="shared" ca="1" si="15"/>
        <v>#N/A</v>
      </c>
      <c r="F101" s="41" t="e">
        <f t="shared" ca="1" si="15"/>
        <v>#N/A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133" t="s">
        <v>62</v>
      </c>
      <c r="C102" s="131"/>
      <c r="D102" s="131"/>
      <c r="E102" s="131"/>
      <c r="F102" s="13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134"/>
      <c r="C103" s="131">
        <f t="shared" ref="C103:F103" si="16">$C$16</f>
        <v>0</v>
      </c>
      <c r="D103" s="131">
        <f t="shared" si="16"/>
        <v>0</v>
      </c>
      <c r="E103" s="131">
        <f t="shared" si="16"/>
        <v>0</v>
      </c>
      <c r="F103" s="131">
        <f t="shared" si="16"/>
        <v>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134"/>
      <c r="C104" s="131">
        <f t="shared" ref="C104:F104" si="17">$D$16</f>
        <v>0</v>
      </c>
      <c r="D104" s="131">
        <f t="shared" si="17"/>
        <v>0</v>
      </c>
      <c r="E104" s="131">
        <f t="shared" si="17"/>
        <v>0</v>
      </c>
      <c r="F104" s="131">
        <f t="shared" si="17"/>
        <v>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135" t="s">
        <v>63</v>
      </c>
      <c r="C105" s="41"/>
      <c r="D105" s="41"/>
      <c r="E105" s="41"/>
      <c r="F105" s="4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127"/>
      <c r="C106" s="41" t="e">
        <f>VLOOKUP(C93,[1]ElevationArea_arrange!$A$4:$C$734,2,TRUE)</f>
        <v>#N/A</v>
      </c>
      <c r="D106" s="41" t="e">
        <f ca="1">VLOOKUP(D93,[1]ElevationArea_arrange!$A$4:$C$734,2,TRUE)</f>
        <v>#N/A</v>
      </c>
      <c r="E106" s="41" t="e">
        <f ca="1">VLOOKUP(E93,[1]ElevationArea_arrange!$A$4:$C$734,2,TRUE)</f>
        <v>#N/A</v>
      </c>
      <c r="F106" s="41" t="e">
        <f ca="1">VLOOKUP(F93,[1]ElevationArea_arrange!$A$4:$C$734,2,TRUE)</f>
        <v>#N/A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127"/>
      <c r="C107" s="41" t="e">
        <f>VLOOKUP(C94,[1]ElevationArea_arrange!$D$4:$F$734,2,TRUE)</f>
        <v>#N/A</v>
      </c>
      <c r="D107" s="41" t="e">
        <f ca="1">VLOOKUP(D94,[1]ElevationArea_arrange!$D$4:$F$734,2,TRUE)</f>
        <v>#N/A</v>
      </c>
      <c r="E107" s="41" t="e">
        <f ca="1">VLOOKUP(E94,[1]ElevationArea_arrange!$D$4:$F$734,2,TRUE)</f>
        <v>#N/A</v>
      </c>
      <c r="F107" s="41" t="e">
        <f ca="1">VLOOKUP(F94,[1]ElevationArea_arrange!$D$4:$F$734,2,TRUE)</f>
        <v>#N/A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94"/>
      <c r="D108" s="9"/>
      <c r="E108" s="5"/>
      <c r="F108" s="1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9"/>
      <c r="E109" s="5"/>
      <c r="F109" s="1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9"/>
      <c r="E110" s="5"/>
      <c r="F110" s="1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9"/>
      <c r="E111" s="5"/>
      <c r="F111" s="1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9"/>
      <c r="E112" s="5"/>
      <c r="F112" s="1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9"/>
      <c r="E113" s="5"/>
      <c r="F113" s="1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243"/>
      <c r="D114" s="244"/>
      <c r="E114" s="244"/>
      <c r="F114" s="24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245"/>
      <c r="D115" s="244"/>
      <c r="E115" s="136"/>
      <c r="F115" s="13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9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9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9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9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9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9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6"/>
      <c r="D122" s="6"/>
      <c r="E122" s="9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91"/>
      <c r="D123" s="91"/>
      <c r="E123" s="9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9"/>
      <c r="E124" s="5"/>
      <c r="F124" s="1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9"/>
      <c r="E125" s="5"/>
      <c r="F125" s="1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9"/>
      <c r="E126" s="5"/>
      <c r="F126" s="1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9"/>
      <c r="E127" s="5"/>
      <c r="F127" s="1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9"/>
      <c r="E128" s="5"/>
      <c r="F128" s="1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9"/>
      <c r="E129" s="5"/>
      <c r="F129" s="1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9"/>
      <c r="E130" s="5"/>
      <c r="F130" s="1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9"/>
      <c r="E131" s="5"/>
      <c r="F131" s="1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9"/>
      <c r="E132" s="5"/>
      <c r="F132" s="1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9"/>
      <c r="E133" s="5"/>
      <c r="F133" s="1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9"/>
      <c r="E134" s="5"/>
      <c r="F134" s="1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9"/>
      <c r="E135" s="5"/>
      <c r="F135" s="1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9"/>
      <c r="E136" s="5"/>
      <c r="F136" s="1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9"/>
      <c r="E137" s="5"/>
      <c r="F137" s="1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9"/>
      <c r="E138" s="5"/>
      <c r="F138" s="1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9"/>
      <c r="E139" s="5"/>
      <c r="F139" s="1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9"/>
      <c r="E140" s="5"/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9"/>
      <c r="E141" s="5"/>
      <c r="F141" s="1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9"/>
      <c r="E142" s="5"/>
      <c r="F142" s="1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9"/>
      <c r="E143" s="5"/>
      <c r="F143" s="1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9"/>
      <c r="E144" s="5"/>
      <c r="F144" s="1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9"/>
      <c r="E145" s="5"/>
      <c r="F145" s="1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9"/>
      <c r="E146" s="5"/>
      <c r="F146" s="1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9"/>
      <c r="E147" s="5"/>
      <c r="F147" s="1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9"/>
      <c r="E148" s="5"/>
      <c r="F148" s="1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9"/>
      <c r="E149" s="5"/>
      <c r="F149" s="1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9"/>
      <c r="E150" s="5"/>
      <c r="F150" s="1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9"/>
      <c r="E151" s="5"/>
      <c r="F151" s="1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9"/>
      <c r="E152" s="5"/>
      <c r="F152" s="1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9"/>
      <c r="E153" s="5"/>
      <c r="F153" s="1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9"/>
      <c r="E154" s="5"/>
      <c r="F154" s="1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9"/>
      <c r="E155" s="5"/>
      <c r="F155" s="1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9"/>
      <c r="E156" s="5"/>
      <c r="F156" s="1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9"/>
      <c r="E157" s="5"/>
      <c r="F157" s="1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9"/>
      <c r="E158" s="5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9"/>
      <c r="E159" s="5"/>
      <c r="F159" s="1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9"/>
      <c r="E160" s="5"/>
      <c r="F160" s="1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9"/>
      <c r="E161" s="5"/>
      <c r="F161" s="1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9"/>
      <c r="E162" s="5"/>
      <c r="F162" s="1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9"/>
      <c r="E163" s="5"/>
      <c r="F163" s="1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9"/>
      <c r="E164" s="5"/>
      <c r="F164" s="1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9"/>
      <c r="E165" s="5"/>
      <c r="F165" s="1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9"/>
      <c r="E166" s="5"/>
      <c r="F166" s="1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9"/>
      <c r="E167" s="5"/>
      <c r="F167" s="1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9"/>
      <c r="E168" s="5"/>
      <c r="F168" s="1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9"/>
      <c r="E169" s="5"/>
      <c r="F169" s="1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9"/>
      <c r="E170" s="5"/>
      <c r="F170" s="1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9"/>
      <c r="E171" s="5"/>
      <c r="F171" s="1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9"/>
      <c r="E172" s="5"/>
      <c r="F172" s="1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9"/>
      <c r="E173" s="5"/>
      <c r="F173" s="1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9"/>
      <c r="E174" s="5"/>
      <c r="F174" s="1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9"/>
      <c r="E175" s="5"/>
      <c r="F175" s="1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9"/>
      <c r="E176" s="5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9"/>
      <c r="E177" s="5"/>
      <c r="F177" s="1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9"/>
      <c r="E178" s="5"/>
      <c r="F178" s="1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9"/>
      <c r="E179" s="5"/>
      <c r="F179" s="1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9"/>
      <c r="E180" s="5"/>
      <c r="F180" s="1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9"/>
      <c r="E181" s="5"/>
      <c r="F181" s="1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9"/>
      <c r="E182" s="5"/>
      <c r="F182" s="1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9"/>
      <c r="E183" s="5"/>
      <c r="F183" s="1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9"/>
      <c r="E184" s="5"/>
      <c r="F184" s="1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9"/>
      <c r="E185" s="5"/>
      <c r="F185" s="1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9"/>
      <c r="E186" s="5"/>
      <c r="F186" s="1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9"/>
      <c r="E187" s="5"/>
      <c r="F187" s="1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9"/>
      <c r="E188" s="5"/>
      <c r="F188" s="1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9"/>
      <c r="E189" s="5"/>
      <c r="F189" s="1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9"/>
      <c r="E190" s="5"/>
      <c r="F190" s="1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9"/>
      <c r="E191" s="5"/>
      <c r="F191" s="1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9"/>
      <c r="E192" s="5"/>
      <c r="F192" s="1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9"/>
      <c r="E193" s="5"/>
      <c r="F193" s="1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9"/>
      <c r="E194" s="5"/>
      <c r="F194" s="1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9"/>
      <c r="E195" s="5"/>
      <c r="F195" s="1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9"/>
      <c r="E196" s="5"/>
      <c r="F196" s="1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9"/>
      <c r="E197" s="5"/>
      <c r="F197" s="1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9"/>
      <c r="E198" s="5"/>
      <c r="F198" s="1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9"/>
      <c r="E199" s="5"/>
      <c r="F199" s="1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9"/>
      <c r="E200" s="5"/>
      <c r="F200" s="1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9"/>
      <c r="E201" s="5"/>
      <c r="F201" s="1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9"/>
      <c r="E202" s="5"/>
      <c r="F202" s="1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9"/>
      <c r="E203" s="5"/>
      <c r="F203" s="1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9"/>
      <c r="E204" s="5"/>
      <c r="F204" s="1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9"/>
      <c r="E205" s="5"/>
      <c r="F205" s="1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9"/>
      <c r="E206" s="5"/>
      <c r="F206" s="1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9"/>
      <c r="E207" s="5"/>
      <c r="F207" s="1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9"/>
      <c r="E208" s="5"/>
      <c r="F208" s="1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9"/>
      <c r="E209" s="5"/>
      <c r="F209" s="1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9"/>
      <c r="E210" s="5"/>
      <c r="F210" s="1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9"/>
      <c r="E211" s="5"/>
      <c r="F211" s="1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9"/>
      <c r="E212" s="5"/>
      <c r="F212" s="1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9"/>
      <c r="E213" s="5"/>
      <c r="F213" s="1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9"/>
      <c r="E214" s="5"/>
      <c r="F214" s="1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9"/>
      <c r="E215" s="5"/>
      <c r="F215" s="1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9"/>
      <c r="E216" s="5"/>
      <c r="F216" s="1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9"/>
      <c r="E217" s="5"/>
      <c r="F217" s="1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9"/>
      <c r="E218" s="5"/>
      <c r="F218" s="1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9"/>
      <c r="E219" s="5"/>
      <c r="F219" s="1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9"/>
      <c r="E220" s="5"/>
      <c r="F220" s="1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9"/>
      <c r="E221" s="5"/>
      <c r="F221" s="1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9"/>
      <c r="E222" s="5"/>
      <c r="F222" s="1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9"/>
      <c r="E223" s="5"/>
      <c r="F223" s="1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9"/>
      <c r="E224" s="5"/>
      <c r="F224" s="1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9"/>
      <c r="E225" s="5"/>
      <c r="F225" s="1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9"/>
      <c r="E226" s="5"/>
      <c r="F226" s="1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9"/>
      <c r="E227" s="5"/>
      <c r="F227" s="1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9"/>
      <c r="E228" s="5"/>
      <c r="F228" s="1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9"/>
      <c r="E229" s="5"/>
      <c r="F229" s="1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9"/>
      <c r="E230" s="5"/>
      <c r="F230" s="1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9"/>
      <c r="E231" s="5"/>
      <c r="F231" s="1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9"/>
      <c r="E232" s="5"/>
      <c r="F232" s="1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9"/>
      <c r="E233" s="5"/>
      <c r="F233" s="1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9"/>
      <c r="E234" s="5"/>
      <c r="F234" s="1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9"/>
      <c r="E235" s="5"/>
      <c r="F235" s="1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9"/>
      <c r="E236" s="5"/>
      <c r="F236" s="1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9"/>
      <c r="E237" s="5"/>
      <c r="F237" s="1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9"/>
      <c r="E238" s="5"/>
      <c r="F238" s="1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9"/>
      <c r="E239" s="5"/>
      <c r="F239" s="1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9"/>
      <c r="E240" s="5"/>
      <c r="F240" s="1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9"/>
      <c r="E241" s="5"/>
      <c r="F241" s="1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9"/>
      <c r="E242" s="5"/>
      <c r="F242" s="1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9"/>
      <c r="E243" s="5"/>
      <c r="F243" s="1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9"/>
      <c r="E244" s="5"/>
      <c r="F244" s="1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9"/>
      <c r="E245" s="5"/>
      <c r="F245" s="1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9"/>
      <c r="E246" s="5"/>
      <c r="F246" s="1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9"/>
      <c r="E247" s="5"/>
      <c r="F247" s="1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9"/>
      <c r="E248" s="5"/>
      <c r="F248" s="1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9"/>
      <c r="E249" s="5"/>
      <c r="F249" s="1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9"/>
      <c r="E250" s="5"/>
      <c r="F250" s="1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9"/>
      <c r="E251" s="5"/>
      <c r="F251" s="1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9"/>
      <c r="E252" s="5"/>
      <c r="F252" s="1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9"/>
      <c r="E253" s="5"/>
      <c r="F253" s="1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9"/>
      <c r="E254" s="5"/>
      <c r="F254" s="1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9"/>
      <c r="E255" s="5"/>
      <c r="F255" s="1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9"/>
      <c r="E256" s="5"/>
      <c r="F256" s="1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9"/>
      <c r="E257" s="5"/>
      <c r="F257" s="1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9"/>
      <c r="E258" s="5"/>
      <c r="F258" s="1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9"/>
      <c r="E259" s="5"/>
      <c r="F259" s="1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9"/>
      <c r="E260" s="5"/>
      <c r="F260" s="1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9"/>
      <c r="E261" s="5"/>
      <c r="F261" s="1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9"/>
      <c r="E262" s="5"/>
      <c r="F262" s="1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9"/>
      <c r="E263" s="5"/>
      <c r="F263" s="1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9"/>
      <c r="E264" s="5"/>
      <c r="F264" s="1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9"/>
      <c r="E265" s="5"/>
      <c r="F265" s="1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9"/>
      <c r="E266" s="5"/>
      <c r="F266" s="1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9"/>
      <c r="E267" s="5"/>
      <c r="F267" s="1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9"/>
      <c r="E268" s="5"/>
      <c r="F268" s="1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9"/>
      <c r="E269" s="5"/>
      <c r="F269" s="1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9"/>
      <c r="E270" s="5"/>
      <c r="F270" s="1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9"/>
      <c r="E271" s="5"/>
      <c r="F271" s="1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9"/>
      <c r="E272" s="5"/>
      <c r="F272" s="1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9"/>
      <c r="E273" s="5"/>
      <c r="F273" s="1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9"/>
      <c r="E274" s="5"/>
      <c r="F274" s="1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9"/>
      <c r="E275" s="5"/>
      <c r="F275" s="1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9"/>
      <c r="E276" s="5"/>
      <c r="F276" s="1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9"/>
      <c r="E277" s="5"/>
      <c r="F277" s="1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9"/>
      <c r="E278" s="5"/>
      <c r="F278" s="1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9"/>
      <c r="E279" s="5"/>
      <c r="F279" s="1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9"/>
      <c r="E280" s="5"/>
      <c r="F280" s="1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9"/>
      <c r="E281" s="5"/>
      <c r="F281" s="1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9"/>
      <c r="E282" s="5"/>
      <c r="F282" s="1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9"/>
      <c r="E283" s="5"/>
      <c r="F283" s="1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9"/>
      <c r="E284" s="5"/>
      <c r="F284" s="1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9"/>
      <c r="E285" s="5"/>
      <c r="F285" s="1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9"/>
      <c r="E286" s="5"/>
      <c r="F286" s="1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9"/>
      <c r="E287" s="5"/>
      <c r="F287" s="1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9"/>
      <c r="E288" s="5"/>
      <c r="F288" s="1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9"/>
      <c r="E289" s="5"/>
      <c r="F289" s="1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9"/>
      <c r="E290" s="5"/>
      <c r="F290" s="1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9"/>
      <c r="E291" s="5"/>
      <c r="F291" s="1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9"/>
      <c r="E292" s="5"/>
      <c r="F292" s="1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9"/>
      <c r="E293" s="5"/>
      <c r="F293" s="1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9"/>
      <c r="E294" s="5"/>
      <c r="F294" s="1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9"/>
      <c r="E295" s="5"/>
      <c r="F295" s="1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9"/>
      <c r="E296" s="5"/>
      <c r="F296" s="1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9"/>
      <c r="E297" s="5"/>
      <c r="F297" s="1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9"/>
      <c r="E298" s="5"/>
      <c r="F298" s="1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9"/>
      <c r="E299" s="5"/>
      <c r="F299" s="1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9"/>
      <c r="E300" s="5"/>
      <c r="F300" s="1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9"/>
      <c r="E301" s="5"/>
      <c r="F301" s="1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9"/>
      <c r="E302" s="5"/>
      <c r="F302" s="1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9"/>
      <c r="E303" s="5"/>
      <c r="F303" s="1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9"/>
      <c r="E304" s="5"/>
      <c r="F304" s="1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9"/>
      <c r="E305" s="5"/>
      <c r="F305" s="1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9"/>
      <c r="E306" s="5"/>
      <c r="F306" s="1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9"/>
      <c r="E307" s="5"/>
      <c r="F307" s="1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9"/>
      <c r="E308" s="5"/>
      <c r="F308" s="1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9"/>
      <c r="E309" s="5"/>
      <c r="F309" s="1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9"/>
      <c r="E310" s="5"/>
      <c r="F310" s="1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9"/>
      <c r="E311" s="5"/>
      <c r="F311" s="1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9"/>
      <c r="E312" s="5"/>
      <c r="F312" s="1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9"/>
      <c r="E313" s="5"/>
      <c r="F313" s="1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9"/>
      <c r="E314" s="5"/>
      <c r="F314" s="1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9"/>
      <c r="E315" s="5"/>
      <c r="F315" s="1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9"/>
      <c r="E316" s="5"/>
      <c r="F316" s="1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9"/>
      <c r="E317" s="5"/>
      <c r="F317" s="1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9"/>
      <c r="E318" s="5"/>
      <c r="F318" s="1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9"/>
      <c r="E319" s="5"/>
      <c r="F319" s="1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9"/>
      <c r="E320" s="5"/>
      <c r="F320" s="1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9"/>
      <c r="E321" s="5"/>
      <c r="F321" s="1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9"/>
      <c r="E322" s="5"/>
      <c r="F322" s="1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9"/>
      <c r="E323" s="5"/>
      <c r="F323" s="1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9"/>
      <c r="E324" s="5"/>
      <c r="F324" s="1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9"/>
      <c r="E325" s="5"/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9"/>
      <c r="E326" s="5"/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9"/>
      <c r="E327" s="5"/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9"/>
      <c r="E328" s="5"/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9"/>
      <c r="E329" s="5"/>
      <c r="F329" s="1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9"/>
      <c r="E330" s="5"/>
      <c r="F330" s="1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9"/>
      <c r="E331" s="5"/>
      <c r="F331" s="1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9"/>
      <c r="E332" s="5"/>
      <c r="F332" s="1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9"/>
      <c r="E333" s="5"/>
      <c r="F333" s="1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9"/>
      <c r="E334" s="5"/>
      <c r="F334" s="1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9"/>
      <c r="E335" s="5"/>
      <c r="F335" s="1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9"/>
      <c r="E336" s="5"/>
      <c r="F336" s="1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9"/>
      <c r="E337" s="5"/>
      <c r="F337" s="1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9"/>
      <c r="E338" s="5"/>
      <c r="F338" s="1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9"/>
      <c r="E339" s="5"/>
      <c r="F339" s="1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9"/>
      <c r="E340" s="5"/>
      <c r="F340" s="1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9"/>
      <c r="E341" s="5"/>
      <c r="F341" s="1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9"/>
      <c r="E342" s="5"/>
      <c r="F342" s="1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9"/>
      <c r="E343" s="5"/>
      <c r="F343" s="1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9"/>
      <c r="E344" s="5"/>
      <c r="F344" s="1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9"/>
      <c r="E345" s="5"/>
      <c r="F345" s="1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9"/>
      <c r="E346" s="5"/>
      <c r="F346" s="1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9"/>
      <c r="E347" s="5"/>
      <c r="F347" s="1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9"/>
      <c r="E348" s="5"/>
      <c r="F348" s="1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9"/>
      <c r="E349" s="5"/>
      <c r="F349" s="1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9"/>
      <c r="E350" s="5"/>
      <c r="F350" s="1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9"/>
      <c r="E351" s="5"/>
      <c r="F351" s="1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9"/>
      <c r="E352" s="5"/>
      <c r="F352" s="1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9"/>
      <c r="E353" s="5"/>
      <c r="F353" s="1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9"/>
      <c r="E354" s="5"/>
      <c r="F354" s="1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9"/>
      <c r="E355" s="5"/>
      <c r="F355" s="1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9"/>
      <c r="E356" s="5"/>
      <c r="F356" s="1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9"/>
      <c r="E357" s="5"/>
      <c r="F357" s="1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9"/>
      <c r="E358" s="5"/>
      <c r="F358" s="1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9"/>
      <c r="E359" s="5"/>
      <c r="F359" s="1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9"/>
      <c r="E360" s="5"/>
      <c r="F360" s="1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9"/>
      <c r="E361" s="5"/>
      <c r="F361" s="1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9"/>
      <c r="E362" s="5"/>
      <c r="F362" s="1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9"/>
      <c r="E363" s="5"/>
      <c r="F363" s="1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9"/>
      <c r="E364" s="5"/>
      <c r="F364" s="1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9"/>
      <c r="E365" s="5"/>
      <c r="F365" s="1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9"/>
      <c r="E366" s="5"/>
      <c r="F366" s="1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9"/>
      <c r="E367" s="5"/>
      <c r="F367" s="1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9"/>
      <c r="E368" s="5"/>
      <c r="F368" s="1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9"/>
      <c r="E369" s="5"/>
      <c r="F369" s="1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9"/>
      <c r="E370" s="5"/>
      <c r="F370" s="1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9"/>
      <c r="E371" s="5"/>
      <c r="F371" s="1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9"/>
      <c r="E372" s="5"/>
      <c r="F372" s="1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9"/>
      <c r="E373" s="5"/>
      <c r="F373" s="1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9"/>
      <c r="E374" s="5"/>
      <c r="F374" s="1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9"/>
      <c r="E375" s="5"/>
      <c r="F375" s="1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9"/>
      <c r="E376" s="5"/>
      <c r="F376" s="1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9"/>
      <c r="E377" s="5"/>
      <c r="F377" s="1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9"/>
      <c r="E378" s="5"/>
      <c r="F378" s="1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9"/>
      <c r="E379" s="5"/>
      <c r="F379" s="1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9"/>
      <c r="E380" s="5"/>
      <c r="F380" s="1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9"/>
      <c r="E381" s="5"/>
      <c r="F381" s="1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9"/>
      <c r="E382" s="5"/>
      <c r="F382" s="1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9"/>
      <c r="E383" s="5"/>
      <c r="F383" s="1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9"/>
      <c r="E384" s="5"/>
      <c r="F384" s="1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9"/>
      <c r="E385" s="5"/>
      <c r="F385" s="1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9"/>
      <c r="E386" s="5"/>
      <c r="F386" s="1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9"/>
      <c r="E387" s="5"/>
      <c r="F387" s="1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9"/>
      <c r="E388" s="5"/>
      <c r="F388" s="1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9"/>
      <c r="E389" s="5"/>
      <c r="F389" s="1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9"/>
      <c r="E390" s="5"/>
      <c r="F390" s="1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9"/>
      <c r="E391" s="5"/>
      <c r="F391" s="1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9"/>
      <c r="E392" s="5"/>
      <c r="F392" s="1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9"/>
      <c r="E393" s="5"/>
      <c r="F393" s="1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9"/>
      <c r="E394" s="5"/>
      <c r="F394" s="1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9"/>
      <c r="E395" s="5"/>
      <c r="F395" s="1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9"/>
      <c r="E396" s="5"/>
      <c r="F396" s="1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9"/>
      <c r="E397" s="5"/>
      <c r="F397" s="1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9"/>
      <c r="E398" s="5"/>
      <c r="F398" s="1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9"/>
      <c r="E399" s="5"/>
      <c r="F399" s="1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9"/>
      <c r="E400" s="5"/>
      <c r="F400" s="1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9"/>
      <c r="E401" s="5"/>
      <c r="F401" s="1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9"/>
      <c r="E402" s="5"/>
      <c r="F402" s="1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9"/>
      <c r="E403" s="5"/>
      <c r="F403" s="1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9"/>
      <c r="E404" s="5"/>
      <c r="F404" s="1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9"/>
      <c r="E405" s="5"/>
      <c r="F405" s="1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9"/>
      <c r="E406" s="5"/>
      <c r="F406" s="1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9"/>
      <c r="E407" s="5"/>
      <c r="F407" s="1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9"/>
      <c r="E408" s="5"/>
      <c r="F408" s="1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9"/>
      <c r="E409" s="5"/>
      <c r="F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9"/>
      <c r="E410" s="5"/>
      <c r="F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9"/>
      <c r="E411" s="5"/>
      <c r="F411" s="1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9"/>
      <c r="E412" s="5"/>
      <c r="F412" s="1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9"/>
      <c r="E413" s="5"/>
      <c r="F413" s="1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9"/>
      <c r="E414" s="5"/>
      <c r="F414" s="1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9"/>
      <c r="E415" s="5"/>
      <c r="F415" s="1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9"/>
      <c r="E416" s="5"/>
      <c r="F416" s="1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9"/>
      <c r="E417" s="5"/>
      <c r="F417" s="1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9"/>
      <c r="E418" s="5"/>
      <c r="F418" s="1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9"/>
      <c r="E419" s="5"/>
      <c r="F419" s="1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9"/>
      <c r="E420" s="5"/>
      <c r="F420" s="1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9"/>
      <c r="E421" s="5"/>
      <c r="F421" s="1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9"/>
      <c r="E422" s="5"/>
      <c r="F422" s="1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9"/>
      <c r="E423" s="5"/>
      <c r="F423" s="1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9"/>
      <c r="E424" s="5"/>
      <c r="F424" s="1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9"/>
      <c r="E425" s="5"/>
      <c r="F425" s="1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9"/>
      <c r="E426" s="5"/>
      <c r="F426" s="1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9"/>
      <c r="E427" s="5"/>
      <c r="F427" s="1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9"/>
      <c r="E428" s="5"/>
      <c r="F428" s="1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9"/>
      <c r="E429" s="5"/>
      <c r="F429" s="1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9"/>
      <c r="E430" s="5"/>
      <c r="F430" s="1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9"/>
      <c r="E431" s="5"/>
      <c r="F431" s="1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9"/>
      <c r="E432" s="5"/>
      <c r="F432" s="1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9"/>
      <c r="E433" s="5"/>
      <c r="F433" s="1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9"/>
      <c r="E434" s="5"/>
      <c r="F434" s="1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9"/>
      <c r="E435" s="5"/>
      <c r="F435" s="1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9"/>
      <c r="E436" s="5"/>
      <c r="F436" s="1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9"/>
      <c r="E437" s="5"/>
      <c r="F437" s="1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9"/>
      <c r="E438" s="5"/>
      <c r="F438" s="1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9"/>
      <c r="E439" s="5"/>
      <c r="F439" s="1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9"/>
      <c r="E440" s="5"/>
      <c r="F440" s="1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9"/>
      <c r="E441" s="5"/>
      <c r="F441" s="1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9"/>
      <c r="E442" s="5"/>
      <c r="F442" s="1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9"/>
      <c r="E443" s="5"/>
      <c r="F443" s="1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9"/>
      <c r="E444" s="5"/>
      <c r="F444" s="1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9"/>
      <c r="E445" s="5"/>
      <c r="F445" s="1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9"/>
      <c r="E446" s="5"/>
      <c r="F446" s="1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9"/>
      <c r="E447" s="5"/>
      <c r="F447" s="1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9"/>
      <c r="E448" s="5"/>
      <c r="F448" s="1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9"/>
      <c r="E449" s="5"/>
      <c r="F449" s="1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9"/>
      <c r="E450" s="5"/>
      <c r="F450" s="1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9"/>
      <c r="E451" s="5"/>
      <c r="F451" s="1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9"/>
      <c r="E452" s="5"/>
      <c r="F452" s="1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9"/>
      <c r="E453" s="5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9"/>
      <c r="E454" s="5"/>
      <c r="F454" s="1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9"/>
      <c r="E455" s="5"/>
      <c r="F455" s="1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9"/>
      <c r="E456" s="5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9"/>
      <c r="E457" s="5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9"/>
      <c r="E458" s="5"/>
      <c r="F458" s="1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9"/>
      <c r="E459" s="5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9"/>
      <c r="E460" s="5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9"/>
      <c r="E461" s="5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9"/>
      <c r="E462" s="5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9"/>
      <c r="E463" s="5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9"/>
      <c r="E464" s="5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9"/>
      <c r="E465" s="5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9"/>
      <c r="E466" s="5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9"/>
      <c r="E467" s="5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9"/>
      <c r="E468" s="5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9"/>
      <c r="E469" s="5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9"/>
      <c r="E470" s="5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9"/>
      <c r="E471" s="5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9"/>
      <c r="E472" s="5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9"/>
      <c r="E473" s="5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9"/>
      <c r="E474" s="5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9"/>
      <c r="E475" s="5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9"/>
      <c r="E476" s="5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9"/>
      <c r="E477" s="5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9"/>
      <c r="E478" s="5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9"/>
      <c r="E479" s="5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9"/>
      <c r="E480" s="5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9"/>
      <c r="E481" s="5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9"/>
      <c r="E482" s="5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9"/>
      <c r="E483" s="5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9"/>
      <c r="E484" s="5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9"/>
      <c r="E485" s="5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9"/>
      <c r="E486" s="5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9"/>
      <c r="E487" s="5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9"/>
      <c r="E488" s="5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9"/>
      <c r="E489" s="5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9"/>
      <c r="E490" s="5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9"/>
      <c r="E491" s="5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9"/>
      <c r="E492" s="5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9"/>
      <c r="E493" s="5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9"/>
      <c r="E494" s="5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9"/>
      <c r="E495" s="5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9"/>
      <c r="E496" s="5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9"/>
      <c r="E497" s="5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9"/>
      <c r="E498" s="5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9"/>
      <c r="E499" s="5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9"/>
      <c r="E500" s="5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9"/>
      <c r="E501" s="5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9"/>
      <c r="E502" s="5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9"/>
      <c r="E503" s="5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9"/>
      <c r="E504" s="5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9"/>
      <c r="E505" s="5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9"/>
      <c r="E506" s="5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9"/>
      <c r="E507" s="5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9"/>
      <c r="E508" s="5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9"/>
      <c r="E509" s="5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9"/>
      <c r="E510" s="5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9"/>
      <c r="E511" s="5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9"/>
      <c r="E512" s="5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9"/>
      <c r="E513" s="5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9"/>
      <c r="E514" s="5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9"/>
      <c r="E515" s="5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9"/>
      <c r="E516" s="5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9"/>
      <c r="E517" s="5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9"/>
      <c r="E518" s="5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9"/>
      <c r="E519" s="5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9"/>
      <c r="E520" s="5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9"/>
      <c r="E521" s="5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9"/>
      <c r="E522" s="5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9"/>
      <c r="E523" s="5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9"/>
      <c r="E524" s="5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9"/>
      <c r="E525" s="5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9"/>
      <c r="E526" s="5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9"/>
      <c r="E527" s="5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9"/>
      <c r="E528" s="5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9"/>
      <c r="E529" s="5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9"/>
      <c r="E530" s="5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9"/>
      <c r="E531" s="5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9"/>
      <c r="E532" s="5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9"/>
      <c r="E533" s="5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9"/>
      <c r="E534" s="5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9"/>
      <c r="E535" s="5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9"/>
      <c r="E536" s="5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9"/>
      <c r="E537" s="5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9"/>
      <c r="E538" s="5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9"/>
      <c r="E539" s="5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9"/>
      <c r="E540" s="5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9"/>
      <c r="E541" s="5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9"/>
      <c r="E542" s="5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9"/>
      <c r="E543" s="5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9"/>
      <c r="E544" s="5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9"/>
      <c r="E545" s="5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9"/>
      <c r="E546" s="5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9"/>
      <c r="E547" s="5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9"/>
      <c r="E548" s="5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9"/>
      <c r="E549" s="5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9"/>
      <c r="E550" s="5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9"/>
      <c r="E551" s="5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9"/>
      <c r="E552" s="5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9"/>
      <c r="E553" s="5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9"/>
      <c r="E554" s="5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9"/>
      <c r="E555" s="5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9"/>
      <c r="E556" s="5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9"/>
      <c r="E557" s="5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9"/>
      <c r="E558" s="5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9"/>
      <c r="E559" s="5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9"/>
      <c r="E560" s="5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9"/>
      <c r="E561" s="5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9"/>
      <c r="E562" s="5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9"/>
      <c r="E563" s="5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9"/>
      <c r="E564" s="5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9"/>
      <c r="E565" s="5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9"/>
      <c r="E566" s="5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9"/>
      <c r="E567" s="5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9"/>
      <c r="E568" s="5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9"/>
      <c r="E569" s="5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9"/>
      <c r="E570" s="5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9"/>
      <c r="E571" s="5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9"/>
      <c r="E572" s="5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9"/>
      <c r="E573" s="5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9"/>
      <c r="E574" s="5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9"/>
      <c r="E575" s="5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9"/>
      <c r="E576" s="5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9"/>
      <c r="E577" s="5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9"/>
      <c r="E578" s="5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9"/>
      <c r="E579" s="5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9"/>
      <c r="E580" s="5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9"/>
      <c r="E581" s="5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9"/>
      <c r="E582" s="5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9"/>
      <c r="E583" s="5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9"/>
      <c r="E584" s="5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9"/>
      <c r="E585" s="5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9"/>
      <c r="E586" s="5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9"/>
      <c r="E587" s="5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9"/>
      <c r="E588" s="5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9"/>
      <c r="E589" s="5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9"/>
      <c r="E590" s="5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9"/>
      <c r="E591" s="5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9"/>
      <c r="E592" s="5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9"/>
      <c r="E593" s="5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9"/>
      <c r="E594" s="5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9"/>
      <c r="E595" s="5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9"/>
      <c r="E596" s="5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9"/>
      <c r="E597" s="5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9"/>
      <c r="E598" s="5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9"/>
      <c r="E599" s="5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9"/>
      <c r="E600" s="5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9"/>
      <c r="E601" s="5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9"/>
      <c r="E602" s="5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9"/>
      <c r="E603" s="5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9"/>
      <c r="E604" s="5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9"/>
      <c r="E605" s="5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9"/>
      <c r="E606" s="5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9"/>
      <c r="E607" s="5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9"/>
      <c r="E608" s="5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9"/>
      <c r="E609" s="5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9"/>
      <c r="E610" s="5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9"/>
      <c r="E611" s="5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9"/>
      <c r="E612" s="5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9"/>
      <c r="E613" s="5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9"/>
      <c r="E614" s="5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9"/>
      <c r="E615" s="5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9"/>
      <c r="E616" s="5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9"/>
      <c r="E617" s="5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9"/>
      <c r="E618" s="5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9"/>
      <c r="E619" s="5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9"/>
      <c r="E620" s="5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9"/>
      <c r="E621" s="5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9"/>
      <c r="E622" s="5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9"/>
      <c r="E623" s="5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9"/>
      <c r="E624" s="5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9"/>
      <c r="E625" s="5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9"/>
      <c r="E626" s="5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9"/>
      <c r="E627" s="5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9"/>
      <c r="E628" s="5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9"/>
      <c r="E629" s="5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9"/>
      <c r="E630" s="5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9"/>
      <c r="E631" s="5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9"/>
      <c r="E632" s="5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9"/>
      <c r="E633" s="5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9"/>
      <c r="E634" s="5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9"/>
      <c r="E635" s="5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9"/>
      <c r="E636" s="5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9"/>
      <c r="E637" s="5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9"/>
      <c r="E638" s="5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9"/>
      <c r="E639" s="5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9"/>
      <c r="E640" s="5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9"/>
      <c r="E641" s="5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9"/>
      <c r="E642" s="5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9"/>
      <c r="E643" s="5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9"/>
      <c r="E644" s="5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9"/>
      <c r="E645" s="5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9"/>
      <c r="E646" s="5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9"/>
      <c r="E647" s="5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9"/>
      <c r="E648" s="5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9"/>
      <c r="E649" s="5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9"/>
      <c r="E650" s="5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9"/>
      <c r="E651" s="5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9"/>
      <c r="E652" s="5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9"/>
      <c r="E653" s="5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9"/>
      <c r="E654" s="5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9"/>
      <c r="E655" s="5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9"/>
      <c r="E656" s="5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9"/>
      <c r="E657" s="5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9"/>
      <c r="E658" s="5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9"/>
      <c r="E659" s="5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9"/>
      <c r="E660" s="5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9"/>
      <c r="E661" s="5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9"/>
      <c r="E662" s="5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9"/>
      <c r="E663" s="5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9"/>
      <c r="E664" s="5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9"/>
      <c r="E665" s="5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9"/>
      <c r="E666" s="5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9"/>
      <c r="E667" s="5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9"/>
      <c r="E668" s="5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9"/>
      <c r="E669" s="5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9"/>
      <c r="E670" s="5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9"/>
      <c r="E671" s="5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9"/>
      <c r="E672" s="5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9"/>
      <c r="E673" s="5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9"/>
      <c r="E674" s="5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9"/>
      <c r="E675" s="5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9"/>
      <c r="E676" s="5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9"/>
      <c r="E677" s="5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9"/>
      <c r="E678" s="5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9"/>
      <c r="E679" s="5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9"/>
      <c r="E680" s="5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9"/>
      <c r="E681" s="5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9"/>
      <c r="E682" s="5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9"/>
      <c r="E683" s="5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9"/>
      <c r="E684" s="5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9"/>
      <c r="E685" s="5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9"/>
      <c r="E686" s="5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9"/>
      <c r="E687" s="5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9"/>
      <c r="E688" s="5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9"/>
      <c r="E689" s="5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9"/>
      <c r="E690" s="5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9"/>
      <c r="E691" s="5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9"/>
      <c r="E692" s="5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9"/>
      <c r="E693" s="5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9"/>
      <c r="E694" s="5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9"/>
      <c r="E695" s="5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9"/>
      <c r="E696" s="5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9"/>
      <c r="E697" s="5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9"/>
      <c r="E698" s="5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9"/>
      <c r="E699" s="5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9"/>
      <c r="E700" s="5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9"/>
      <c r="E701" s="5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9"/>
      <c r="E702" s="5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9"/>
      <c r="E703" s="5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9"/>
      <c r="E704" s="5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9"/>
      <c r="E705" s="5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9"/>
      <c r="E706" s="5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9"/>
      <c r="E707" s="5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9"/>
      <c r="E708" s="5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9"/>
      <c r="E709" s="5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9"/>
      <c r="E710" s="5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9"/>
      <c r="E711" s="5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9"/>
      <c r="E712" s="5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9"/>
      <c r="E713" s="5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9"/>
      <c r="E714" s="5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9"/>
      <c r="E715" s="5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9"/>
      <c r="E716" s="5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9"/>
      <c r="E717" s="5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9"/>
      <c r="E718" s="5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9"/>
      <c r="E719" s="5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9"/>
      <c r="E720" s="5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9"/>
      <c r="E721" s="5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9"/>
      <c r="E722" s="5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9"/>
      <c r="E723" s="5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9"/>
      <c r="E724" s="5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9"/>
      <c r="E725" s="5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9"/>
      <c r="E726" s="5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9"/>
      <c r="E727" s="5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9"/>
      <c r="E728" s="5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9"/>
      <c r="E729" s="5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9"/>
      <c r="E730" s="5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9"/>
      <c r="E731" s="5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9"/>
      <c r="E732" s="5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9"/>
      <c r="E733" s="5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9"/>
      <c r="E734" s="5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9"/>
      <c r="E735" s="5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9"/>
      <c r="E736" s="5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9"/>
      <c r="E737" s="5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9"/>
      <c r="E738" s="5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9"/>
      <c r="E739" s="5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9"/>
      <c r="E740" s="5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9"/>
      <c r="E741" s="5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9"/>
      <c r="E742" s="5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9"/>
      <c r="E743" s="5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9"/>
      <c r="E744" s="5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9"/>
      <c r="E745" s="5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9"/>
      <c r="E746" s="5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9"/>
      <c r="E747" s="5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9"/>
      <c r="E748" s="5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9"/>
      <c r="E749" s="5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9"/>
      <c r="E750" s="5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9"/>
      <c r="E751" s="5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9"/>
      <c r="E752" s="5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9"/>
      <c r="E753" s="5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9"/>
      <c r="E754" s="5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9"/>
      <c r="E755" s="5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9"/>
      <c r="E756" s="5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9"/>
      <c r="E757" s="5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9"/>
      <c r="E758" s="5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9"/>
      <c r="E759" s="5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9"/>
      <c r="E760" s="5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9"/>
      <c r="E761" s="5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9"/>
      <c r="E762" s="5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9"/>
      <c r="E763" s="5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9"/>
      <c r="E764" s="5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9"/>
      <c r="E765" s="5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9"/>
      <c r="E766" s="5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9"/>
      <c r="E767" s="5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9"/>
      <c r="E768" s="5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9"/>
      <c r="E769" s="5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9"/>
      <c r="E770" s="5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9"/>
      <c r="E771" s="5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9"/>
      <c r="E772" s="5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9"/>
      <c r="E773" s="5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9"/>
      <c r="E774" s="5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9"/>
      <c r="E775" s="5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9"/>
      <c r="E776" s="5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9"/>
      <c r="E777" s="5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9"/>
      <c r="E778" s="5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9"/>
      <c r="E779" s="5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9"/>
      <c r="E780" s="5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9"/>
      <c r="E781" s="5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9"/>
      <c r="E782" s="5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9"/>
      <c r="E783" s="5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9"/>
      <c r="E784" s="5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9"/>
      <c r="E785" s="5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9"/>
      <c r="E786" s="5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9"/>
      <c r="E787" s="5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9"/>
      <c r="E788" s="5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9"/>
      <c r="E789" s="5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9"/>
      <c r="E790" s="5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9"/>
      <c r="E791" s="5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9"/>
      <c r="E792" s="5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9"/>
      <c r="E793" s="5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9"/>
      <c r="E794" s="5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9"/>
      <c r="E795" s="5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9"/>
      <c r="E796" s="5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9"/>
      <c r="E797" s="5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9"/>
      <c r="E798" s="5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9"/>
      <c r="E799" s="5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9"/>
      <c r="E800" s="5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9"/>
      <c r="E801" s="5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9"/>
      <c r="E802" s="5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9"/>
      <c r="E803" s="5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9"/>
      <c r="E804" s="5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9"/>
      <c r="E805" s="5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9"/>
      <c r="E806" s="5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9"/>
      <c r="E807" s="5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9"/>
      <c r="E808" s="5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9"/>
      <c r="E809" s="5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9"/>
      <c r="E810" s="5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9"/>
      <c r="E811" s="5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9"/>
      <c r="E812" s="5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9"/>
      <c r="E813" s="5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9"/>
      <c r="E814" s="5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9"/>
      <c r="E815" s="5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9"/>
      <c r="E816" s="5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9"/>
      <c r="E817" s="5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9"/>
      <c r="E818" s="5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9"/>
      <c r="E819" s="5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9"/>
      <c r="E820" s="5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9"/>
      <c r="E821" s="5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9"/>
      <c r="E822" s="5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9"/>
      <c r="E823" s="5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9"/>
      <c r="E824" s="5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9"/>
      <c r="E825" s="5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9"/>
      <c r="E826" s="5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9"/>
      <c r="E827" s="5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9"/>
      <c r="E828" s="5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9"/>
      <c r="E829" s="5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9"/>
      <c r="E830" s="5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9"/>
      <c r="E831" s="5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9"/>
      <c r="E832" s="5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9"/>
      <c r="E833" s="5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9"/>
      <c r="E834" s="5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9"/>
      <c r="E835" s="5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9"/>
      <c r="E836" s="5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9"/>
      <c r="E837" s="5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9"/>
      <c r="E838" s="5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9"/>
      <c r="E839" s="5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9"/>
      <c r="E840" s="5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9"/>
      <c r="E841" s="5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9"/>
      <c r="E842" s="5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9"/>
      <c r="E843" s="5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9"/>
      <c r="E844" s="5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9"/>
      <c r="E845" s="5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9"/>
      <c r="E846" s="5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9"/>
      <c r="E847" s="5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9"/>
      <c r="E848" s="5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9"/>
      <c r="E849" s="5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9"/>
      <c r="E850" s="5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9"/>
      <c r="E851" s="5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9"/>
      <c r="E852" s="5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9"/>
      <c r="E853" s="5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9"/>
      <c r="E854" s="5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9"/>
      <c r="E855" s="5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9"/>
      <c r="E856" s="5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9"/>
      <c r="E857" s="5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9"/>
      <c r="E858" s="5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9"/>
      <c r="E859" s="5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9"/>
      <c r="E860" s="5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9"/>
      <c r="E861" s="5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9"/>
      <c r="E862" s="5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9"/>
      <c r="E863" s="5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9"/>
      <c r="E864" s="5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9"/>
      <c r="E865" s="5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9"/>
      <c r="E866" s="5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9"/>
      <c r="E867" s="5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9"/>
      <c r="E868" s="5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9"/>
      <c r="E869" s="5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9"/>
      <c r="E870" s="5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9"/>
      <c r="E871" s="5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9"/>
      <c r="E872" s="5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9"/>
      <c r="E873" s="5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9"/>
      <c r="E874" s="5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9"/>
      <c r="E875" s="5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9"/>
      <c r="E876" s="5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9"/>
      <c r="E877" s="5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9"/>
      <c r="E878" s="5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9"/>
      <c r="E879" s="5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9"/>
      <c r="E880" s="5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9"/>
      <c r="E881" s="5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9"/>
      <c r="E882" s="5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9"/>
      <c r="E883" s="5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9"/>
      <c r="E884" s="5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9"/>
      <c r="E885" s="5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9"/>
      <c r="E886" s="5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9"/>
      <c r="E887" s="5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9"/>
      <c r="E888" s="5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9"/>
      <c r="E889" s="5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9"/>
      <c r="E890" s="5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9"/>
      <c r="E891" s="5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9"/>
      <c r="E892" s="5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9"/>
      <c r="E893" s="5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9"/>
      <c r="E894" s="5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9"/>
      <c r="E895" s="5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9"/>
      <c r="E896" s="5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9"/>
      <c r="E897" s="5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9"/>
      <c r="E898" s="5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9"/>
      <c r="E899" s="5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9"/>
      <c r="E900" s="5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9"/>
      <c r="E901" s="5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9"/>
      <c r="E902" s="5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9"/>
      <c r="E903" s="5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9"/>
      <c r="E904" s="5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9"/>
      <c r="E905" s="5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9"/>
      <c r="E906" s="5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9"/>
      <c r="E907" s="5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9"/>
      <c r="E908" s="5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9"/>
      <c r="E909" s="5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9"/>
      <c r="E910" s="5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9"/>
      <c r="E911" s="5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9"/>
      <c r="E912" s="5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9"/>
      <c r="E913" s="5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9"/>
      <c r="E914" s="5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9"/>
      <c r="E915" s="5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9"/>
      <c r="E916" s="5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9"/>
      <c r="E917" s="5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9"/>
      <c r="E918" s="5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9"/>
      <c r="E919" s="5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9"/>
      <c r="E920" s="5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9"/>
      <c r="E921" s="5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9"/>
      <c r="E922" s="5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9"/>
      <c r="E923" s="5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9"/>
      <c r="E924" s="5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9"/>
      <c r="E925" s="5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9"/>
      <c r="E926" s="5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9"/>
      <c r="E927" s="5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9"/>
      <c r="E928" s="5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9"/>
      <c r="E929" s="5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9"/>
      <c r="E930" s="5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9"/>
      <c r="E931" s="5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9"/>
      <c r="E932" s="5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9"/>
      <c r="E933" s="5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9"/>
      <c r="E934" s="5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9"/>
      <c r="E935" s="5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9"/>
      <c r="E936" s="5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9"/>
      <c r="E937" s="5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9"/>
      <c r="E938" s="5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9"/>
      <c r="E939" s="5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9"/>
      <c r="E940" s="5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9"/>
      <c r="E941" s="5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9"/>
      <c r="E942" s="5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9"/>
      <c r="E943" s="5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9"/>
      <c r="E944" s="5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9"/>
      <c r="E945" s="5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9"/>
      <c r="E946" s="5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9"/>
      <c r="E947" s="5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9"/>
      <c r="E948" s="5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9"/>
      <c r="E949" s="5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</sheetData>
  <mergeCells count="4">
    <mergeCell ref="A1:F1"/>
    <mergeCell ref="A5:B5"/>
    <mergeCell ref="C114:F114"/>
    <mergeCell ref="C115:D115"/>
  </mergeCells>
  <conditionalFormatting sqref="C31:F32">
    <cfRule type="cellIs" dxfId="5" priority="1" operator="lessThan">
      <formula>$C$17</formula>
    </cfRule>
  </conditionalFormatting>
  <conditionalFormatting sqref="C90:F91">
    <cfRule type="cellIs" dxfId="4" priority="10" operator="lessThan">
      <formula>0</formula>
    </cfRule>
  </conditionalFormatting>
  <conditionalFormatting sqref="C91:F91">
    <cfRule type="cellIs" dxfId="3" priority="11" operator="lessThan">
      <formula>5146</formula>
    </cfRule>
  </conditionalFormatting>
  <conditionalFormatting sqref="C93:F93">
    <cfRule type="cellIs" dxfId="2" priority="12" operator="lessThan">
      <formula>$C$17</formula>
    </cfRule>
  </conditionalFormatting>
  <conditionalFormatting sqref="C94:F94">
    <cfRule type="cellIs" dxfId="1" priority="13" operator="lessThan">
      <formula>$D$17</formula>
    </cfRule>
  </conditionalFormatting>
  <conditionalFormatting sqref="C96:F97">
    <cfRule type="cellIs" dxfId="0" priority="14" operator="lessThan">
      <formula>0</formula>
    </cfRule>
  </conditionalFormatting>
  <hyperlinks>
    <hyperlink ref="B33" location="'Inflows-Quantiles'!A3" display="Select percentile of flow as compared to historic flows (Choose 1 - 99) [acft]. " xr:uid="{0B55B23F-F515-42F9-B37E-D5BFC43429AE}"/>
    <hyperlink ref="B105" location="ResElevation!A1" display="End of Year Reservoir Elevation " xr:uid="{5B0B4AEE-6A9F-449D-9D8C-A6380E9A55A4}"/>
  </hyperlink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685A-3B65-4ABE-A919-A07F3009C2B6}">
  <dimension ref="A1:B1"/>
  <sheetViews>
    <sheetView zoomScaleNormal="115" workbookViewId="0">
      <selection activeCell="S13" sqref="S13"/>
    </sheetView>
  </sheetViews>
  <sheetFormatPr defaultColWidth="8.85546875" defaultRowHeight="15"/>
  <sheetData>
    <row r="1" spans="1:2">
      <c r="A1" t="s">
        <v>0</v>
      </c>
      <c r="B1" s="179" t="s">
        <v>1</v>
      </c>
    </row>
  </sheetData>
  <hyperlinks>
    <hyperlink ref="B1" r:id="rId1" xr:uid="{0A5CE6E9-262E-4B04-8E67-3E9CA0C30ED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EB67-70D4-4EDA-8695-FDDA7778C0A6}">
  <dimension ref="A1"/>
  <sheetViews>
    <sheetView topLeftCell="L106" zoomScale="75" zoomScaleNormal="75" workbookViewId="0">
      <selection activeCell="BC91" sqref="BC91:BC92"/>
    </sheetView>
  </sheetViews>
  <sheetFormatPr defaultColWidth="8.85546875"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622B-3ED3-9746-87B5-934558B4C5F4}">
  <dimension ref="A24:CY76"/>
  <sheetViews>
    <sheetView topLeftCell="A37" zoomScale="145" zoomScaleNormal="145" workbookViewId="0">
      <pane xSplit="1" topLeftCell="B1" activePane="topRight" state="frozen"/>
      <selection activeCell="A23" sqref="A23"/>
      <selection pane="topRight" activeCell="A50" sqref="A50"/>
    </sheetView>
  </sheetViews>
  <sheetFormatPr defaultColWidth="11" defaultRowHeight="15.75"/>
  <cols>
    <col min="1" max="1" width="30.7109375" style="187" bestFit="1" customWidth="1"/>
    <col min="2" max="2" width="9.42578125" style="187" customWidth="1"/>
    <col min="3" max="3" width="9.140625" style="187" customWidth="1"/>
    <col min="4" max="4" width="9.42578125" style="187" customWidth="1"/>
    <col min="5" max="5" width="8.28515625" style="187" customWidth="1"/>
    <col min="6" max="6" width="8.5703125" style="187" customWidth="1"/>
    <col min="7" max="97" width="6.7109375" style="187" bestFit="1" customWidth="1"/>
    <col min="98" max="101" width="7.7109375" style="187" bestFit="1" customWidth="1"/>
    <col min="102" max="102" width="16.42578125" style="187" bestFit="1" customWidth="1"/>
    <col min="103" max="16384" width="11" style="187"/>
  </cols>
  <sheetData>
    <row r="24" spans="1:101" ht="16.5" thickBot="1"/>
    <row r="25" spans="1:101" s="202" customFormat="1">
      <c r="A25" s="199" t="s">
        <v>199</v>
      </c>
      <c r="B25" s="200">
        <v>1</v>
      </c>
      <c r="C25" s="200">
        <v>2</v>
      </c>
      <c r="D25" s="200">
        <v>3</v>
      </c>
      <c r="E25" s="200">
        <v>4</v>
      </c>
      <c r="F25" s="200">
        <v>5</v>
      </c>
      <c r="G25" s="200">
        <v>6</v>
      </c>
      <c r="H25" s="200">
        <v>7</v>
      </c>
      <c r="I25" s="200">
        <v>8</v>
      </c>
      <c r="J25" s="200">
        <v>9</v>
      </c>
      <c r="K25" s="200">
        <v>10</v>
      </c>
      <c r="L25" s="200">
        <v>11</v>
      </c>
      <c r="M25" s="200">
        <v>12</v>
      </c>
      <c r="N25" s="200">
        <v>13</v>
      </c>
      <c r="O25" s="200">
        <v>14</v>
      </c>
      <c r="P25" s="200">
        <v>15</v>
      </c>
      <c r="Q25" s="200">
        <v>16</v>
      </c>
      <c r="R25" s="200">
        <v>17</v>
      </c>
      <c r="S25" s="200">
        <v>18</v>
      </c>
      <c r="T25" s="200">
        <v>19</v>
      </c>
      <c r="U25" s="200">
        <v>20</v>
      </c>
      <c r="V25" s="200">
        <v>21</v>
      </c>
      <c r="W25" s="200">
        <v>22</v>
      </c>
      <c r="X25" s="200">
        <v>23</v>
      </c>
      <c r="Y25" s="200">
        <v>24</v>
      </c>
      <c r="Z25" s="200">
        <v>25</v>
      </c>
      <c r="AA25" s="200">
        <v>26</v>
      </c>
      <c r="AB25" s="200">
        <v>27</v>
      </c>
      <c r="AC25" s="200">
        <v>28</v>
      </c>
      <c r="AD25" s="200">
        <v>29</v>
      </c>
      <c r="AE25" s="200">
        <v>30</v>
      </c>
      <c r="AF25" s="200">
        <v>31</v>
      </c>
      <c r="AG25" s="200">
        <v>32</v>
      </c>
      <c r="AH25" s="200">
        <v>33</v>
      </c>
      <c r="AI25" s="200">
        <v>34</v>
      </c>
      <c r="AJ25" s="200">
        <v>35</v>
      </c>
      <c r="AK25" s="200">
        <v>36</v>
      </c>
      <c r="AL25" s="200">
        <v>37</v>
      </c>
      <c r="AM25" s="200">
        <v>38</v>
      </c>
      <c r="AN25" s="200">
        <v>39</v>
      </c>
      <c r="AO25" s="200">
        <v>40</v>
      </c>
      <c r="AP25" s="200">
        <v>41</v>
      </c>
      <c r="AQ25" s="200">
        <v>42</v>
      </c>
      <c r="AR25" s="200">
        <v>43</v>
      </c>
      <c r="AS25" s="200">
        <v>44</v>
      </c>
      <c r="AT25" s="200">
        <v>45</v>
      </c>
      <c r="AU25" s="200">
        <v>46</v>
      </c>
      <c r="AV25" s="200">
        <v>47</v>
      </c>
      <c r="AW25" s="200">
        <v>48</v>
      </c>
      <c r="AX25" s="200">
        <v>49</v>
      </c>
      <c r="AY25" s="200">
        <v>50</v>
      </c>
      <c r="AZ25" s="200">
        <v>51</v>
      </c>
      <c r="BA25" s="200">
        <v>52</v>
      </c>
      <c r="BB25" s="200">
        <v>53</v>
      </c>
      <c r="BC25" s="200">
        <v>54</v>
      </c>
      <c r="BD25" s="200">
        <v>55</v>
      </c>
      <c r="BE25" s="200">
        <v>56</v>
      </c>
      <c r="BF25" s="200">
        <v>57</v>
      </c>
      <c r="BG25" s="200">
        <v>58</v>
      </c>
      <c r="BH25" s="200">
        <v>59</v>
      </c>
      <c r="BI25" s="200">
        <v>60</v>
      </c>
      <c r="BJ25" s="200">
        <v>61</v>
      </c>
      <c r="BK25" s="200">
        <v>62</v>
      </c>
      <c r="BL25" s="200">
        <v>63</v>
      </c>
      <c r="BM25" s="200">
        <v>64</v>
      </c>
      <c r="BN25" s="200">
        <v>65</v>
      </c>
      <c r="BO25" s="200">
        <v>66</v>
      </c>
      <c r="BP25" s="200">
        <v>67</v>
      </c>
      <c r="BQ25" s="200">
        <v>68</v>
      </c>
      <c r="BR25" s="200">
        <v>69</v>
      </c>
      <c r="BS25" s="200">
        <v>70</v>
      </c>
      <c r="BT25" s="200">
        <v>71</v>
      </c>
      <c r="BU25" s="200">
        <v>72</v>
      </c>
      <c r="BV25" s="200">
        <v>73</v>
      </c>
      <c r="BW25" s="200">
        <v>74</v>
      </c>
      <c r="BX25" s="200">
        <v>75</v>
      </c>
      <c r="BY25" s="200">
        <v>76</v>
      </c>
      <c r="BZ25" s="200">
        <v>77</v>
      </c>
      <c r="CA25" s="200">
        <v>78</v>
      </c>
      <c r="CB25" s="200">
        <v>79</v>
      </c>
      <c r="CC25" s="200">
        <v>80</v>
      </c>
      <c r="CD25" s="200">
        <v>81</v>
      </c>
      <c r="CE25" s="200">
        <v>82</v>
      </c>
      <c r="CF25" s="200">
        <v>83</v>
      </c>
      <c r="CG25" s="200">
        <v>84</v>
      </c>
      <c r="CH25" s="200">
        <v>85</v>
      </c>
      <c r="CI25" s="200">
        <v>86</v>
      </c>
      <c r="CJ25" s="200">
        <v>87</v>
      </c>
      <c r="CK25" s="200">
        <v>88</v>
      </c>
      <c r="CL25" s="200">
        <v>89</v>
      </c>
      <c r="CM25" s="200">
        <v>90</v>
      </c>
      <c r="CN25" s="200">
        <v>91</v>
      </c>
      <c r="CO25" s="200">
        <v>92</v>
      </c>
      <c r="CP25" s="200">
        <v>93</v>
      </c>
      <c r="CQ25" s="200">
        <v>94</v>
      </c>
      <c r="CR25" s="200">
        <v>95</v>
      </c>
      <c r="CS25" s="200">
        <v>96</v>
      </c>
      <c r="CT25" s="200">
        <v>97</v>
      </c>
      <c r="CU25" s="200">
        <v>98</v>
      </c>
      <c r="CV25" s="200">
        <v>99</v>
      </c>
      <c r="CW25" s="201">
        <v>100</v>
      </c>
    </row>
    <row r="26" spans="1:101">
      <c r="A26" t="s">
        <v>203</v>
      </c>
      <c r="B26" s="198">
        <v>32.171840017500003</v>
      </c>
      <c r="C26" s="198">
        <v>32.788399335000001</v>
      </c>
      <c r="D26" s="198">
        <v>33.4049586525</v>
      </c>
      <c r="E26" s="198">
        <v>34.021517969999998</v>
      </c>
      <c r="F26" s="198">
        <v>34.522220512499999</v>
      </c>
      <c r="G26" s="198">
        <v>35.022923055</v>
      </c>
      <c r="H26" s="198">
        <v>35.523625597500001</v>
      </c>
      <c r="I26" s="198">
        <v>36.024328140000001</v>
      </c>
      <c r="J26" s="198">
        <v>39.056047605000003</v>
      </c>
      <c r="K26" s="198">
        <v>42.087767069999998</v>
      </c>
      <c r="L26" s="198">
        <v>45.119486535</v>
      </c>
      <c r="M26" s="198">
        <v>48.151206000000002</v>
      </c>
      <c r="N26" s="198">
        <v>48.516147404999998</v>
      </c>
      <c r="O26" s="198">
        <v>48.881088810000001</v>
      </c>
      <c r="P26" s="198">
        <v>49.246030214999998</v>
      </c>
      <c r="Q26" s="198">
        <v>49.610971620000001</v>
      </c>
      <c r="R26" s="198">
        <v>49.839839564999998</v>
      </c>
      <c r="S26" s="198">
        <v>50.068707510000003</v>
      </c>
      <c r="T26" s="198">
        <v>50.297575455</v>
      </c>
      <c r="U26" s="198">
        <v>50.526443399999998</v>
      </c>
      <c r="V26" s="198">
        <v>51.326608687499998</v>
      </c>
      <c r="W26" s="198">
        <v>52.126773974999999</v>
      </c>
      <c r="X26" s="198">
        <v>52.926939262499999</v>
      </c>
      <c r="Y26" s="198">
        <v>53.72710455</v>
      </c>
      <c r="Z26" s="198">
        <v>53.868551940000003</v>
      </c>
      <c r="AA26" s="198">
        <v>54.009999329999999</v>
      </c>
      <c r="AB26" s="198">
        <v>54.151446720000003</v>
      </c>
      <c r="AC26" s="198">
        <v>54.292894109999999</v>
      </c>
      <c r="AD26" s="198">
        <v>55.978870454999999</v>
      </c>
      <c r="AE26" s="198">
        <v>57.664846799999999</v>
      </c>
      <c r="AF26" s="198">
        <v>59.350823145</v>
      </c>
      <c r="AG26" s="198">
        <v>61.03679949</v>
      </c>
      <c r="AH26" s="198">
        <v>61.587314992499998</v>
      </c>
      <c r="AI26" s="198">
        <v>62.137830495000003</v>
      </c>
      <c r="AJ26" s="198">
        <v>62.688345997500001</v>
      </c>
      <c r="AK26" s="198">
        <v>63.238861499999999</v>
      </c>
      <c r="AL26" s="198">
        <v>64.512344100000007</v>
      </c>
      <c r="AM26" s="198">
        <v>65.785826700000001</v>
      </c>
      <c r="AN26" s="198">
        <v>67.059309299999995</v>
      </c>
      <c r="AO26" s="198">
        <v>68.332791900000004</v>
      </c>
      <c r="AP26" s="198">
        <v>70.545443129999995</v>
      </c>
      <c r="AQ26" s="198">
        <v>72.758094360000001</v>
      </c>
      <c r="AR26" s="198">
        <v>74.970745590000007</v>
      </c>
      <c r="AS26" s="198">
        <v>77.183396819999999</v>
      </c>
      <c r="AT26" s="198">
        <v>78.362488619999993</v>
      </c>
      <c r="AU26" s="198">
        <v>79.541580420000003</v>
      </c>
      <c r="AV26" s="198">
        <v>80.720672219999997</v>
      </c>
      <c r="AW26" s="198">
        <v>81.899764020000006</v>
      </c>
      <c r="AX26" s="198">
        <v>85.609942147500007</v>
      </c>
      <c r="AY26" s="198">
        <v>89.320120274999994</v>
      </c>
      <c r="AZ26" s="198">
        <v>93.030298402499994</v>
      </c>
      <c r="BA26" s="198">
        <v>96.740476529999995</v>
      </c>
      <c r="BB26" s="198">
        <v>97.776836947500001</v>
      </c>
      <c r="BC26" s="198">
        <v>98.813197364999994</v>
      </c>
      <c r="BD26" s="198">
        <v>99.8495577825</v>
      </c>
      <c r="BE26" s="198">
        <v>100.88591820000001</v>
      </c>
      <c r="BF26" s="198">
        <v>104.49204336</v>
      </c>
      <c r="BG26" s="198">
        <v>108.09816852</v>
      </c>
      <c r="BH26" s="198">
        <v>111.70429368000001</v>
      </c>
      <c r="BI26" s="198">
        <v>115.31041884</v>
      </c>
      <c r="BJ26" s="198">
        <v>118.193710755</v>
      </c>
      <c r="BK26" s="198">
        <v>121.07700267</v>
      </c>
      <c r="BL26" s="198">
        <v>123.960294585</v>
      </c>
      <c r="BM26" s="198">
        <v>126.8435865</v>
      </c>
      <c r="BN26" s="198">
        <v>127.7244103125</v>
      </c>
      <c r="BO26" s="198">
        <v>128.60523412500001</v>
      </c>
      <c r="BP26" s="198">
        <v>129.48605793749999</v>
      </c>
      <c r="BQ26" s="198">
        <v>130.36688175</v>
      </c>
      <c r="BR26" s="198">
        <v>131.39797730250001</v>
      </c>
      <c r="BS26" s="198">
        <v>132.42907285499999</v>
      </c>
      <c r="BT26" s="198">
        <v>133.46016840749999</v>
      </c>
      <c r="BU26" s="198">
        <v>134.49126396</v>
      </c>
      <c r="BV26" s="198">
        <v>135.17647969500001</v>
      </c>
      <c r="BW26" s="198">
        <v>135.86169543</v>
      </c>
      <c r="BX26" s="198">
        <v>136.54691116500001</v>
      </c>
      <c r="BY26" s="198">
        <v>137.2321269</v>
      </c>
      <c r="BZ26" s="198">
        <v>138.66780402750001</v>
      </c>
      <c r="CA26" s="198">
        <v>140.103481155</v>
      </c>
      <c r="CB26" s="198">
        <v>141.53915828250001</v>
      </c>
      <c r="CC26" s="198">
        <v>142.97483541</v>
      </c>
      <c r="CD26" s="198">
        <v>145.52947481999999</v>
      </c>
      <c r="CE26" s="198">
        <v>148.08411423000001</v>
      </c>
      <c r="CF26" s="198">
        <v>150.63875364</v>
      </c>
      <c r="CG26" s="198">
        <v>153.19339305</v>
      </c>
      <c r="CH26" s="198">
        <v>156.71210261249999</v>
      </c>
      <c r="CI26" s="198">
        <v>160.23081217500001</v>
      </c>
      <c r="CJ26" s="198">
        <v>163.7495217375</v>
      </c>
      <c r="CK26" s="198">
        <v>167.2682313</v>
      </c>
      <c r="CL26" s="198">
        <v>168.1931272875</v>
      </c>
      <c r="CM26" s="198">
        <v>169.11802327500001</v>
      </c>
      <c r="CN26" s="198">
        <v>170.04291926249999</v>
      </c>
      <c r="CO26" s="198">
        <v>170.96781525</v>
      </c>
      <c r="CP26" s="198">
        <v>182.56049769750001</v>
      </c>
      <c r="CQ26" s="198">
        <v>194.15318014499999</v>
      </c>
      <c r="CR26" s="198">
        <v>205.7458625925</v>
      </c>
      <c r="CS26" s="198">
        <v>217.33854504000001</v>
      </c>
      <c r="CT26" s="198">
        <v>249.41784340500001</v>
      </c>
      <c r="CU26" s="198">
        <v>281.49714176999998</v>
      </c>
      <c r="CV26" s="198">
        <v>313.57644013499998</v>
      </c>
      <c r="CW26" s="198">
        <v>345.65573849999998</v>
      </c>
    </row>
    <row r="27" spans="1:101" s="191" customFormat="1" ht="14.25" customHeight="1">
      <c r="A27" t="s">
        <v>204</v>
      </c>
      <c r="B27" s="198">
        <v>1.8200172299999999</v>
      </c>
      <c r="C27" s="198">
        <v>2.22722628</v>
      </c>
      <c r="D27" s="198">
        <v>2.6344353300000001</v>
      </c>
      <c r="E27" s="198">
        <v>3.0416443800000001</v>
      </c>
      <c r="F27" s="198">
        <v>3.2852113125</v>
      </c>
      <c r="G27" s="198">
        <v>3.5287782449999998</v>
      </c>
      <c r="H27" s="198">
        <v>3.7723451775000001</v>
      </c>
      <c r="I27" s="198">
        <v>4.0159121100000004</v>
      </c>
      <c r="J27" s="198">
        <v>4.0575055349999998</v>
      </c>
      <c r="K27" s="198">
        <v>4.0990989600000001</v>
      </c>
      <c r="L27" s="198">
        <v>4.1406923850000004</v>
      </c>
      <c r="M27" s="198">
        <v>4.1822858099999998</v>
      </c>
      <c r="N27" s="198">
        <v>4.3198068599999999</v>
      </c>
      <c r="O27" s="198">
        <v>4.4573279100000001</v>
      </c>
      <c r="P27" s="198">
        <v>4.5948489600000002</v>
      </c>
      <c r="Q27" s="198">
        <v>4.7323700100000003</v>
      </c>
      <c r="R27" s="198">
        <v>5.8000370400000003</v>
      </c>
      <c r="S27" s="198">
        <v>6.8677040700000003</v>
      </c>
      <c r="T27" s="198">
        <v>7.9353711000000002</v>
      </c>
      <c r="U27" s="198">
        <v>9.0030381300000002</v>
      </c>
      <c r="V27" s="198">
        <v>10.1082582225</v>
      </c>
      <c r="W27" s="198">
        <v>11.213478315</v>
      </c>
      <c r="X27" s="198">
        <v>12.318698407499999</v>
      </c>
      <c r="Y27" s="198">
        <v>13.423918499999999</v>
      </c>
      <c r="Z27" s="198">
        <v>13.669042087499999</v>
      </c>
      <c r="AA27" s="198">
        <v>13.914165675</v>
      </c>
      <c r="AB27" s="198">
        <v>14.1592892625</v>
      </c>
      <c r="AC27" s="198">
        <v>14.40441285</v>
      </c>
      <c r="AD27" s="198">
        <v>14.808553207499999</v>
      </c>
      <c r="AE27" s="198">
        <v>15.212693565</v>
      </c>
      <c r="AF27" s="198">
        <v>15.6168339225</v>
      </c>
      <c r="AG27" s="198">
        <v>16.020974280000001</v>
      </c>
      <c r="AH27" s="198">
        <v>17.476089765000001</v>
      </c>
      <c r="AI27" s="198">
        <v>18.931205250000001</v>
      </c>
      <c r="AJ27" s="198">
        <v>20.386320735000002</v>
      </c>
      <c r="AK27" s="198">
        <v>21.841436219999999</v>
      </c>
      <c r="AL27" s="198">
        <v>22.841443290000001</v>
      </c>
      <c r="AM27" s="198">
        <v>23.84145036</v>
      </c>
      <c r="AN27" s="198">
        <v>24.841457429999998</v>
      </c>
      <c r="AO27" s="198">
        <v>25.841464500000001</v>
      </c>
      <c r="AP27" s="198">
        <v>26.426994825000001</v>
      </c>
      <c r="AQ27" s="198">
        <v>27.012525149999998</v>
      </c>
      <c r="AR27" s="198">
        <v>27.598055474999999</v>
      </c>
      <c r="AS27" s="198">
        <v>28.183585799999999</v>
      </c>
      <c r="AT27" s="198">
        <v>28.768912867499999</v>
      </c>
      <c r="AU27" s="198">
        <v>29.354239934999999</v>
      </c>
      <c r="AV27" s="198">
        <v>29.939567002499999</v>
      </c>
      <c r="AW27" s="198">
        <v>30.524894069999998</v>
      </c>
      <c r="AX27" s="198">
        <v>32.896765327499999</v>
      </c>
      <c r="AY27" s="198">
        <v>35.268636585000003</v>
      </c>
      <c r="AZ27" s="198">
        <v>37.6405078425</v>
      </c>
      <c r="BA27" s="198">
        <v>40.012379099999997</v>
      </c>
      <c r="BB27" s="198">
        <v>41.603389575000001</v>
      </c>
      <c r="BC27" s="198">
        <v>43.194400049999999</v>
      </c>
      <c r="BD27" s="198">
        <v>44.785410525000003</v>
      </c>
      <c r="BE27" s="198">
        <v>46.376421000000001</v>
      </c>
      <c r="BF27" s="198">
        <v>47.737140727499998</v>
      </c>
      <c r="BG27" s="198">
        <v>49.097860455000003</v>
      </c>
      <c r="BH27" s="198">
        <v>50.4585801825</v>
      </c>
      <c r="BI27" s="198">
        <v>51.819299909999998</v>
      </c>
      <c r="BJ27" s="198">
        <v>53.804347357499999</v>
      </c>
      <c r="BK27" s="198">
        <v>55.789394805000001</v>
      </c>
      <c r="BL27" s="198">
        <v>57.774442252500002</v>
      </c>
      <c r="BM27" s="198">
        <v>59.759489700000003</v>
      </c>
      <c r="BN27" s="198">
        <v>60.090690360000004</v>
      </c>
      <c r="BO27" s="198">
        <v>60.421891019999997</v>
      </c>
      <c r="BP27" s="198">
        <v>60.753091679999997</v>
      </c>
      <c r="BQ27" s="198">
        <v>61.084292339999998</v>
      </c>
      <c r="BR27" s="198">
        <v>65.200365779999998</v>
      </c>
      <c r="BS27" s="198">
        <v>69.316439220000007</v>
      </c>
      <c r="BT27" s="198">
        <v>73.43251266</v>
      </c>
      <c r="BU27" s="198">
        <v>77.548586099999994</v>
      </c>
      <c r="BV27" s="198">
        <v>83.2929405</v>
      </c>
      <c r="BW27" s="198">
        <v>89.037294900000006</v>
      </c>
      <c r="BX27" s="198">
        <v>94.781649299999998</v>
      </c>
      <c r="BY27" s="198">
        <v>100.5260037</v>
      </c>
      <c r="BZ27" s="198">
        <v>100.772341875</v>
      </c>
      <c r="CA27" s="198">
        <v>101.01868005</v>
      </c>
      <c r="CB27" s="198">
        <v>101.26501822500001</v>
      </c>
      <c r="CC27" s="198">
        <v>101.5113564</v>
      </c>
      <c r="CD27" s="198">
        <v>101.87355135</v>
      </c>
      <c r="CE27" s="198">
        <v>102.2357463</v>
      </c>
      <c r="CF27" s="198">
        <v>102.59794125000001</v>
      </c>
      <c r="CG27" s="198">
        <v>102.96013619999999</v>
      </c>
      <c r="CH27" s="198">
        <v>114.88569990000001</v>
      </c>
      <c r="CI27" s="198">
        <v>126.8112636</v>
      </c>
      <c r="CJ27" s="198">
        <v>138.73682729999999</v>
      </c>
      <c r="CK27" s="198">
        <v>150.66239100000001</v>
      </c>
      <c r="CL27" s="198">
        <v>165.80527305000001</v>
      </c>
      <c r="CM27" s="198">
        <v>180.94815510000001</v>
      </c>
      <c r="CN27" s="198">
        <v>196.09103715000001</v>
      </c>
      <c r="CO27" s="198">
        <v>211.2339192</v>
      </c>
      <c r="CP27" s="198">
        <v>212.29507207500001</v>
      </c>
      <c r="CQ27" s="198">
        <v>213.35622495000001</v>
      </c>
      <c r="CR27" s="198">
        <v>214.41737782499999</v>
      </c>
      <c r="CS27" s="198">
        <v>215.47853069999999</v>
      </c>
      <c r="CT27" s="198">
        <v>249.834055275</v>
      </c>
      <c r="CU27" s="198">
        <v>284.18957984999997</v>
      </c>
      <c r="CV27" s="198">
        <v>318.54510442499998</v>
      </c>
      <c r="CW27" s="198">
        <v>352.90062899999998</v>
      </c>
    </row>
    <row r="28" spans="1:101" s="185" customFormat="1">
      <c r="A28" t="s">
        <v>205</v>
      </c>
      <c r="B28" s="198">
        <v>56.001952574999997</v>
      </c>
      <c r="C28" s="198">
        <v>56.377384050000003</v>
      </c>
      <c r="D28" s="198">
        <v>56.752815525000003</v>
      </c>
      <c r="E28" s="198">
        <v>57.128247000000002</v>
      </c>
      <c r="F28" s="198">
        <v>57.226355925</v>
      </c>
      <c r="G28" s="198">
        <v>57.324464849999998</v>
      </c>
      <c r="H28" s="198">
        <v>57.422573774999996</v>
      </c>
      <c r="I28" s="198">
        <v>57.520682700000002</v>
      </c>
      <c r="J28" s="198">
        <v>59.791911749999997</v>
      </c>
      <c r="K28" s="198">
        <v>62.063140799999999</v>
      </c>
      <c r="L28" s="198">
        <v>64.334369850000002</v>
      </c>
      <c r="M28" s="198">
        <v>66.605598900000004</v>
      </c>
      <c r="N28" s="198">
        <v>66.653984100000002</v>
      </c>
      <c r="O28" s="198">
        <v>66.702369300000001</v>
      </c>
      <c r="P28" s="198">
        <v>66.750754499999999</v>
      </c>
      <c r="Q28" s="198">
        <v>66.799139699999998</v>
      </c>
      <c r="R28" s="198">
        <v>67.992360375000004</v>
      </c>
      <c r="S28" s="198">
        <v>69.185581049999996</v>
      </c>
      <c r="T28" s="198">
        <v>70.378801725000002</v>
      </c>
      <c r="U28" s="198">
        <v>71.572022399999994</v>
      </c>
      <c r="V28" s="198">
        <v>75.728192100000001</v>
      </c>
      <c r="W28" s="198">
        <v>79.884361799999994</v>
      </c>
      <c r="X28" s="198">
        <v>84.0405315</v>
      </c>
      <c r="Y28" s="198">
        <v>88.196701200000007</v>
      </c>
      <c r="Z28" s="198">
        <v>89.273817225000002</v>
      </c>
      <c r="AA28" s="198">
        <v>90.350933249999997</v>
      </c>
      <c r="AB28" s="198">
        <v>91.428049275000006</v>
      </c>
      <c r="AC28" s="198">
        <v>92.505165300000002</v>
      </c>
      <c r="AD28" s="198">
        <v>93.572217600000002</v>
      </c>
      <c r="AE28" s="198">
        <v>94.639269900000002</v>
      </c>
      <c r="AF28" s="198">
        <v>95.706322200000002</v>
      </c>
      <c r="AG28" s="198">
        <v>96.773374500000003</v>
      </c>
      <c r="AH28" s="198">
        <v>100.660798125</v>
      </c>
      <c r="AI28" s="198">
        <v>104.54822175</v>
      </c>
      <c r="AJ28" s="198">
        <v>108.43564537499999</v>
      </c>
      <c r="AK28" s="198">
        <v>112.323069</v>
      </c>
      <c r="AL28" s="198">
        <v>116.05210049999999</v>
      </c>
      <c r="AM28" s="198">
        <v>119.781132</v>
      </c>
      <c r="AN28" s="198">
        <v>123.5101635</v>
      </c>
      <c r="AO28" s="198">
        <v>127.239195</v>
      </c>
      <c r="AP28" s="198">
        <v>129.50194672500001</v>
      </c>
      <c r="AQ28" s="198">
        <v>131.76469845</v>
      </c>
      <c r="AR28" s="198">
        <v>134.02745017500001</v>
      </c>
      <c r="AS28" s="198">
        <v>136.2902019</v>
      </c>
      <c r="AT28" s="198">
        <v>141.16238332500001</v>
      </c>
      <c r="AU28" s="198">
        <v>146.03456474999999</v>
      </c>
      <c r="AV28" s="198">
        <v>150.90674617499999</v>
      </c>
      <c r="AW28" s="198">
        <v>155.7789276</v>
      </c>
      <c r="AX28" s="198">
        <v>158.21791845000001</v>
      </c>
      <c r="AY28" s="198">
        <v>160.6569093</v>
      </c>
      <c r="AZ28" s="198">
        <v>163.09590015000001</v>
      </c>
      <c r="BA28" s="198">
        <v>165.53489099999999</v>
      </c>
      <c r="BB28" s="198">
        <v>167.19466199999999</v>
      </c>
      <c r="BC28" s="198">
        <v>168.854433</v>
      </c>
      <c r="BD28" s="198">
        <v>170.51420400000001</v>
      </c>
      <c r="BE28" s="198">
        <v>172.17397500000001</v>
      </c>
      <c r="BF28" s="198">
        <v>172.46993775000001</v>
      </c>
      <c r="BG28" s="198">
        <v>172.76590049999999</v>
      </c>
      <c r="BH28" s="198">
        <v>173.06186324999999</v>
      </c>
      <c r="BI28" s="198">
        <v>173.35782599999999</v>
      </c>
      <c r="BJ28" s="198">
        <v>175.22333325</v>
      </c>
      <c r="BK28" s="198">
        <v>177.0888405</v>
      </c>
      <c r="BL28" s="198">
        <v>178.95434775000001</v>
      </c>
      <c r="BM28" s="198">
        <v>180.81985499999999</v>
      </c>
      <c r="BN28" s="198">
        <v>182.19402442500001</v>
      </c>
      <c r="BO28" s="198">
        <v>183.56819385</v>
      </c>
      <c r="BP28" s="198">
        <v>184.94236327499999</v>
      </c>
      <c r="BQ28" s="198">
        <v>186.31653270000001</v>
      </c>
      <c r="BR28" s="198">
        <v>190.003970775</v>
      </c>
      <c r="BS28" s="198">
        <v>193.69140884999999</v>
      </c>
      <c r="BT28" s="198">
        <v>197.378846925</v>
      </c>
      <c r="BU28" s="198">
        <v>201.06628499999999</v>
      </c>
      <c r="BV28" s="198">
        <v>209.76873007500001</v>
      </c>
      <c r="BW28" s="198">
        <v>218.47117514999999</v>
      </c>
      <c r="BX28" s="198">
        <v>227.17362022500001</v>
      </c>
      <c r="BY28" s="198">
        <v>235.87606529999999</v>
      </c>
      <c r="BZ28" s="198">
        <v>238.10044597500001</v>
      </c>
      <c r="CA28" s="198">
        <v>240.32482665000001</v>
      </c>
      <c r="CB28" s="198">
        <v>242.549207325</v>
      </c>
      <c r="CC28" s="198">
        <v>244.77358799999999</v>
      </c>
      <c r="CD28" s="198">
        <v>254.32718625000001</v>
      </c>
      <c r="CE28" s="198">
        <v>263.8807845</v>
      </c>
      <c r="CF28" s="198">
        <v>273.43438275</v>
      </c>
      <c r="CG28" s="198">
        <v>282.98798099999999</v>
      </c>
      <c r="CH28" s="198">
        <v>305.68341600000002</v>
      </c>
      <c r="CI28" s="198">
        <v>328.378851</v>
      </c>
      <c r="CJ28" s="198">
        <v>351.07428599999997</v>
      </c>
      <c r="CK28" s="198">
        <v>373.769721</v>
      </c>
      <c r="CL28" s="198">
        <v>376.50675675000002</v>
      </c>
      <c r="CM28" s="198">
        <v>379.24379249999998</v>
      </c>
      <c r="CN28" s="198">
        <v>381.98082825</v>
      </c>
      <c r="CO28" s="198">
        <v>384.71786400000002</v>
      </c>
      <c r="CP28" s="198">
        <v>406.45253550000001</v>
      </c>
      <c r="CQ28" s="198">
        <v>428.187207</v>
      </c>
      <c r="CR28" s="198">
        <v>449.92187849999999</v>
      </c>
      <c r="CS28" s="198">
        <v>471.656550000001</v>
      </c>
      <c r="CT28" s="198">
        <v>516.07277550000003</v>
      </c>
      <c r="CU28" s="198">
        <v>560.48900100000003</v>
      </c>
      <c r="CV28" s="198">
        <v>604.90522650000003</v>
      </c>
      <c r="CW28" s="198">
        <v>649.32145200000002</v>
      </c>
    </row>
    <row r="29" spans="1:101">
      <c r="A29" t="s">
        <v>206</v>
      </c>
      <c r="B29" s="198">
        <v>35.984375647500002</v>
      </c>
      <c r="C29" s="198">
        <v>38.880393464999997</v>
      </c>
      <c r="D29" s="198">
        <v>41.7764112825</v>
      </c>
      <c r="E29" s="198">
        <v>44.672429100000002</v>
      </c>
      <c r="F29" s="198">
        <v>46.6679368725</v>
      </c>
      <c r="G29" s="198">
        <v>48.663444644999998</v>
      </c>
      <c r="H29" s="198">
        <v>50.658952417499997</v>
      </c>
      <c r="I29" s="198">
        <v>52.654460190000002</v>
      </c>
      <c r="J29" s="198">
        <v>53.372886217500003</v>
      </c>
      <c r="K29" s="198">
        <v>54.091312244999997</v>
      </c>
      <c r="L29" s="198">
        <v>54.809738272499999</v>
      </c>
      <c r="M29" s="198">
        <v>55.5281643</v>
      </c>
      <c r="N29" s="198">
        <v>57.116795175</v>
      </c>
      <c r="O29" s="198">
        <v>58.70542605</v>
      </c>
      <c r="P29" s="198">
        <v>60.294056925</v>
      </c>
      <c r="Q29" s="198">
        <v>61.882687799999999</v>
      </c>
      <c r="R29" s="198">
        <v>64.359058200000007</v>
      </c>
      <c r="S29" s="198">
        <v>66.8354286</v>
      </c>
      <c r="T29" s="198">
        <v>69.311798999999993</v>
      </c>
      <c r="U29" s="198">
        <v>71.788169400000001</v>
      </c>
      <c r="V29" s="198">
        <v>71.811073050000005</v>
      </c>
      <c r="W29" s="198">
        <v>71.833976699999994</v>
      </c>
      <c r="X29" s="198">
        <v>71.856880349999997</v>
      </c>
      <c r="Y29" s="198">
        <v>71.879784000000001</v>
      </c>
      <c r="Z29" s="198">
        <v>74.930084175000005</v>
      </c>
      <c r="AA29" s="198">
        <v>77.980384349999994</v>
      </c>
      <c r="AB29" s="198">
        <v>81.030684524999998</v>
      </c>
      <c r="AC29" s="198">
        <v>84.080984700000002</v>
      </c>
      <c r="AD29" s="198">
        <v>85.712468204999993</v>
      </c>
      <c r="AE29" s="198">
        <v>87.343951709999999</v>
      </c>
      <c r="AF29" s="198">
        <v>88.975435215000005</v>
      </c>
      <c r="AG29" s="198">
        <v>90.606918719999996</v>
      </c>
      <c r="AH29" s="198">
        <v>90.660439890000006</v>
      </c>
      <c r="AI29" s="198">
        <v>90.713961060000003</v>
      </c>
      <c r="AJ29" s="198">
        <v>90.767482229999999</v>
      </c>
      <c r="AK29" s="198">
        <v>90.821003399999995</v>
      </c>
      <c r="AL29" s="198">
        <v>91.614867704999995</v>
      </c>
      <c r="AM29" s="198">
        <v>92.408732009999994</v>
      </c>
      <c r="AN29" s="198">
        <v>93.202596314999994</v>
      </c>
      <c r="AO29" s="198">
        <v>93.996460619999993</v>
      </c>
      <c r="AP29" s="198">
        <v>94.072389689999994</v>
      </c>
      <c r="AQ29" s="198">
        <v>94.148318759999995</v>
      </c>
      <c r="AR29" s="198">
        <v>94.224247829999996</v>
      </c>
      <c r="AS29" s="198">
        <v>94.300176899999997</v>
      </c>
      <c r="AT29" s="198">
        <v>95.588333700000007</v>
      </c>
      <c r="AU29" s="198">
        <v>96.876490500000003</v>
      </c>
      <c r="AV29" s="198">
        <v>98.164647299999999</v>
      </c>
      <c r="AW29" s="198">
        <v>99.452804099999994</v>
      </c>
      <c r="AX29" s="198">
        <v>100.97802855</v>
      </c>
      <c r="AY29" s="198">
        <v>102.503253</v>
      </c>
      <c r="AZ29" s="198">
        <v>104.02847745</v>
      </c>
      <c r="BA29" s="198">
        <v>105.55370189999999</v>
      </c>
      <c r="BB29" s="198">
        <v>106.64122867499999</v>
      </c>
      <c r="BC29" s="198">
        <v>107.72875544999999</v>
      </c>
      <c r="BD29" s="198">
        <v>108.81628222499999</v>
      </c>
      <c r="BE29" s="198">
        <v>109.903809</v>
      </c>
      <c r="BF29" s="198">
        <v>112.178359575</v>
      </c>
      <c r="BG29" s="198">
        <v>114.45291014999999</v>
      </c>
      <c r="BH29" s="198">
        <v>116.727460725</v>
      </c>
      <c r="BI29" s="198">
        <v>119.00201130000001</v>
      </c>
      <c r="BJ29" s="198">
        <v>119.276210625</v>
      </c>
      <c r="BK29" s="198">
        <v>119.55040995</v>
      </c>
      <c r="BL29" s="198">
        <v>119.824609275</v>
      </c>
      <c r="BM29" s="198">
        <v>120.0988086</v>
      </c>
      <c r="BN29" s="198">
        <v>122.646021675</v>
      </c>
      <c r="BO29" s="198">
        <v>125.19323475</v>
      </c>
      <c r="BP29" s="198">
        <v>127.740447825</v>
      </c>
      <c r="BQ29" s="198">
        <v>130.28766089999999</v>
      </c>
      <c r="BR29" s="198">
        <v>130.40907007499999</v>
      </c>
      <c r="BS29" s="198">
        <v>130.53047925000001</v>
      </c>
      <c r="BT29" s="198">
        <v>130.65188842500001</v>
      </c>
      <c r="BU29" s="198">
        <v>130.77329760000001</v>
      </c>
      <c r="BV29" s="198">
        <v>132.01014427499999</v>
      </c>
      <c r="BW29" s="198">
        <v>133.24699095</v>
      </c>
      <c r="BX29" s="198">
        <v>134.48383762500001</v>
      </c>
      <c r="BY29" s="198">
        <v>135.72068429999999</v>
      </c>
      <c r="BZ29" s="198">
        <v>138.44602035</v>
      </c>
      <c r="CA29" s="198">
        <v>141.17135640000001</v>
      </c>
      <c r="CB29" s="198">
        <v>143.89669244999999</v>
      </c>
      <c r="CC29" s="198">
        <v>146.6220285</v>
      </c>
      <c r="CD29" s="198">
        <v>150.413177475</v>
      </c>
      <c r="CE29" s="198">
        <v>154.20432645</v>
      </c>
      <c r="CF29" s="198">
        <v>157.995475425</v>
      </c>
      <c r="CG29" s="198">
        <v>161.78662439999999</v>
      </c>
      <c r="CH29" s="198">
        <v>163.41382462499999</v>
      </c>
      <c r="CI29" s="198">
        <v>165.04102485000001</v>
      </c>
      <c r="CJ29" s="198">
        <v>166.66822507500001</v>
      </c>
      <c r="CK29" s="198">
        <v>168.29542530000001</v>
      </c>
      <c r="CL29" s="198">
        <v>170.32413345000001</v>
      </c>
      <c r="CM29" s="198">
        <v>172.3528416</v>
      </c>
      <c r="CN29" s="198">
        <v>174.38154975</v>
      </c>
      <c r="CO29" s="198">
        <v>176.4102579</v>
      </c>
      <c r="CP29" s="198">
        <v>182.74529842499999</v>
      </c>
      <c r="CQ29" s="198">
        <v>189.08033895</v>
      </c>
      <c r="CR29" s="198">
        <v>195.41537947500001</v>
      </c>
      <c r="CS29" s="198">
        <v>201.75042000000099</v>
      </c>
      <c r="CT29" s="198">
        <v>238.10386664999999</v>
      </c>
      <c r="CU29" s="198">
        <v>274.45731330000001</v>
      </c>
      <c r="CV29" s="198">
        <v>310.81075994999998</v>
      </c>
      <c r="CW29" s="198">
        <v>347.1642066</v>
      </c>
    </row>
    <row r="30" spans="1:101">
      <c r="A30" t="s">
        <v>207</v>
      </c>
      <c r="B30" s="198">
        <v>21.324269820000001</v>
      </c>
      <c r="C30" s="198">
        <v>22.027917540000001</v>
      </c>
      <c r="D30" s="198">
        <v>22.73156526</v>
      </c>
      <c r="E30" s="198">
        <v>23.435212979999999</v>
      </c>
      <c r="F30" s="198">
        <v>23.60713908</v>
      </c>
      <c r="G30" s="198">
        <v>23.672720856000002</v>
      </c>
      <c r="H30" s="198">
        <v>23.738302632</v>
      </c>
      <c r="I30" s="198">
        <v>23.803884407999998</v>
      </c>
      <c r="J30" s="198">
        <v>24.046222872000001</v>
      </c>
      <c r="K30" s="198">
        <v>24.37693968</v>
      </c>
      <c r="L30" s="198">
        <v>24.707656488000001</v>
      </c>
      <c r="M30" s="198">
        <v>25.038373296</v>
      </c>
      <c r="N30" s="198">
        <v>25.220365103999999</v>
      </c>
      <c r="O30" s="198">
        <v>25.253631911999999</v>
      </c>
      <c r="P30" s="198">
        <v>25.28689872</v>
      </c>
      <c r="Q30" s="198">
        <v>25.320165528</v>
      </c>
      <c r="R30" s="198">
        <v>25.429325712000001</v>
      </c>
      <c r="S30" s="198">
        <v>25.690272648000001</v>
      </c>
      <c r="T30" s="198">
        <v>25.951219584</v>
      </c>
      <c r="U30" s="198">
        <v>26.21216652</v>
      </c>
      <c r="V30" s="198">
        <v>26.445399047999999</v>
      </c>
      <c r="W30" s="198">
        <v>26.540059536000001</v>
      </c>
      <c r="X30" s="198">
        <v>26.634720024</v>
      </c>
      <c r="Y30" s="198">
        <v>26.729380511999999</v>
      </c>
      <c r="Z30" s="198">
        <v>26.824041000000001</v>
      </c>
      <c r="AA30" s="198">
        <v>27.162324936000001</v>
      </c>
      <c r="AB30" s="198">
        <v>27.500608872000001</v>
      </c>
      <c r="AC30" s="198">
        <v>27.838892808000001</v>
      </c>
      <c r="AD30" s="198">
        <v>28.177176744</v>
      </c>
      <c r="AE30" s="198">
        <v>28.237126799999999</v>
      </c>
      <c r="AF30" s="198">
        <v>28.241410080000001</v>
      </c>
      <c r="AG30" s="198">
        <v>28.245693360000001</v>
      </c>
      <c r="AH30" s="198">
        <v>28.24997664</v>
      </c>
      <c r="AI30" s="198">
        <v>28.75334136</v>
      </c>
      <c r="AJ30" s="198">
        <v>29.5062468</v>
      </c>
      <c r="AK30" s="198">
        <v>30.259152239999999</v>
      </c>
      <c r="AL30" s="198">
        <v>31.012057680000002</v>
      </c>
      <c r="AM30" s="198">
        <v>31.835280300000001</v>
      </c>
      <c r="AN30" s="198">
        <v>32.7288201</v>
      </c>
      <c r="AO30" s="198">
        <v>33.622359899999999</v>
      </c>
      <c r="AP30" s="198">
        <v>34.515899699999999</v>
      </c>
      <c r="AQ30" s="198">
        <v>35.161992828000002</v>
      </c>
      <c r="AR30" s="198">
        <v>35.313192612000002</v>
      </c>
      <c r="AS30" s="198">
        <v>35.464392396000001</v>
      </c>
      <c r="AT30" s="198">
        <v>35.61559218</v>
      </c>
      <c r="AU30" s="198">
        <v>35.842161828000002</v>
      </c>
      <c r="AV30" s="198">
        <v>36.445580796000002</v>
      </c>
      <c r="AW30" s="198">
        <v>37.048999764000001</v>
      </c>
      <c r="AX30" s="198">
        <v>37.652418732000001</v>
      </c>
      <c r="AY30" s="198">
        <v>38.255837700000001</v>
      </c>
      <c r="AZ30" s="198">
        <v>38.375579172000002</v>
      </c>
      <c r="BA30" s="198">
        <v>38.495320644000003</v>
      </c>
      <c r="BB30" s="198">
        <v>38.615062115999997</v>
      </c>
      <c r="BC30" s="198">
        <v>38.734803587999998</v>
      </c>
      <c r="BD30" s="198">
        <v>39.2009355</v>
      </c>
      <c r="BE30" s="198">
        <v>39.736345499999999</v>
      </c>
      <c r="BF30" s="198">
        <v>40.271755499999998</v>
      </c>
      <c r="BG30" s="198">
        <v>40.807165500000004</v>
      </c>
      <c r="BH30" s="198">
        <v>41.120796779999999</v>
      </c>
      <c r="BI30" s="198">
        <v>41.3235387</v>
      </c>
      <c r="BJ30" s="198">
        <v>41.526280620000001</v>
      </c>
      <c r="BK30" s="198">
        <v>41.729022540000003</v>
      </c>
      <c r="BL30" s="198">
        <v>42.066925740000002</v>
      </c>
      <c r="BM30" s="198">
        <v>42.53999022</v>
      </c>
      <c r="BN30" s="198">
        <v>43.013054699999998</v>
      </c>
      <c r="BO30" s="198">
        <v>43.486119180000003</v>
      </c>
      <c r="BP30" s="198">
        <v>44.539663284</v>
      </c>
      <c r="BQ30" s="198">
        <v>46.754166636000001</v>
      </c>
      <c r="BR30" s="198">
        <v>48.968669988000002</v>
      </c>
      <c r="BS30" s="198">
        <v>51.183173340000003</v>
      </c>
      <c r="BT30" s="198">
        <v>53.332951571999999</v>
      </c>
      <c r="BU30" s="198">
        <v>55.159104204000002</v>
      </c>
      <c r="BV30" s="198">
        <v>56.985256835999998</v>
      </c>
      <c r="BW30" s="198">
        <v>58.811409468000001</v>
      </c>
      <c r="BX30" s="198">
        <v>60.637562099999997</v>
      </c>
      <c r="BY30" s="198">
        <v>61.873193196000003</v>
      </c>
      <c r="BZ30" s="198">
        <v>63.108824292000001</v>
      </c>
      <c r="CA30" s="198">
        <v>64.344455388</v>
      </c>
      <c r="CB30" s="198">
        <v>65.580086484000006</v>
      </c>
      <c r="CC30" s="198">
        <v>66.176715659999999</v>
      </c>
      <c r="CD30" s="198">
        <v>66.645544451999996</v>
      </c>
      <c r="CE30" s="198">
        <v>67.114373244000006</v>
      </c>
      <c r="CF30" s="198">
        <v>67.583202036000003</v>
      </c>
      <c r="CG30" s="198">
        <v>69.245574731999994</v>
      </c>
      <c r="CH30" s="198">
        <v>71.504719379999997</v>
      </c>
      <c r="CI30" s="198">
        <v>73.763864028</v>
      </c>
      <c r="CJ30" s="198">
        <v>76.023008676000003</v>
      </c>
      <c r="CK30" s="198">
        <v>79.026777756000001</v>
      </c>
      <c r="CL30" s="198">
        <v>82.775171267999994</v>
      </c>
      <c r="CM30" s="198">
        <v>86.523564780000001</v>
      </c>
      <c r="CN30" s="198">
        <v>90.271958291999994</v>
      </c>
      <c r="CO30" s="198">
        <v>93.707006075999999</v>
      </c>
      <c r="CP30" s="198">
        <v>96.515362404000001</v>
      </c>
      <c r="CQ30" s="198">
        <v>99.323718732000003</v>
      </c>
      <c r="CR30" s="198">
        <v>102.13207506000001</v>
      </c>
      <c r="CS30" s="198">
        <v>106.0115766</v>
      </c>
      <c r="CT30" s="198">
        <v>115.2468042</v>
      </c>
      <c r="CU30" s="198">
        <v>124.4820318</v>
      </c>
      <c r="CV30" s="198">
        <v>133.71725939999999</v>
      </c>
      <c r="CW30" s="198">
        <v>142.95248699999999</v>
      </c>
    </row>
    <row r="31" spans="1:101">
      <c r="A31" t="s">
        <v>192</v>
      </c>
      <c r="B31" s="198">
        <v>100.1956359</v>
      </c>
      <c r="C31" s="198">
        <v>101.0031135</v>
      </c>
      <c r="D31" s="198">
        <v>101.8105911</v>
      </c>
      <c r="E31" s="198">
        <v>102.61806869999999</v>
      </c>
      <c r="F31" s="198">
        <v>110.31438915</v>
      </c>
      <c r="G31" s="198">
        <v>118.0107096</v>
      </c>
      <c r="H31" s="198">
        <v>125.70703005</v>
      </c>
      <c r="I31" s="198">
        <v>133.40335049999999</v>
      </c>
      <c r="J31" s="198">
        <v>134.33759137499999</v>
      </c>
      <c r="K31" s="198">
        <v>135.27183224999999</v>
      </c>
      <c r="L31" s="198">
        <v>136.20607312499999</v>
      </c>
      <c r="M31" s="198">
        <v>137.14031399999999</v>
      </c>
      <c r="N31" s="198">
        <v>137.57746635000001</v>
      </c>
      <c r="O31" s="198">
        <v>138.0146187</v>
      </c>
      <c r="P31" s="198">
        <v>138.45177104999999</v>
      </c>
      <c r="Q31" s="198">
        <v>138.88892340000001</v>
      </c>
      <c r="R31" s="198">
        <v>145.32286604999999</v>
      </c>
      <c r="S31" s="198">
        <v>151.75680869999999</v>
      </c>
      <c r="T31" s="198">
        <v>158.19075135</v>
      </c>
      <c r="U31" s="198">
        <v>164.62469400000001</v>
      </c>
      <c r="V31" s="198">
        <v>166.52133434999999</v>
      </c>
      <c r="W31" s="198">
        <v>168.4179747</v>
      </c>
      <c r="X31" s="198">
        <v>170.31461504999999</v>
      </c>
      <c r="Y31" s="198">
        <v>172.2112554</v>
      </c>
      <c r="Z31" s="198">
        <v>172.62104235000001</v>
      </c>
      <c r="AA31" s="198">
        <v>173.03082929999999</v>
      </c>
      <c r="AB31" s="198">
        <v>173.44061625000001</v>
      </c>
      <c r="AC31" s="198">
        <v>173.85040319999999</v>
      </c>
      <c r="AD31" s="198">
        <v>177.75869789999999</v>
      </c>
      <c r="AE31" s="198">
        <v>181.66699259999999</v>
      </c>
      <c r="AF31" s="198">
        <v>185.57528730000001</v>
      </c>
      <c r="AG31" s="198">
        <v>189.48358200000001</v>
      </c>
      <c r="AH31" s="198">
        <v>193.6924995</v>
      </c>
      <c r="AI31" s="198">
        <v>197.90141700000001</v>
      </c>
      <c r="AJ31" s="198">
        <v>202.11033449999999</v>
      </c>
      <c r="AK31" s="198">
        <v>206.31925200000001</v>
      </c>
      <c r="AL31" s="198">
        <v>212.42094299999999</v>
      </c>
      <c r="AM31" s="198">
        <v>218.52263400000001</v>
      </c>
      <c r="AN31" s="198">
        <v>224.624325</v>
      </c>
      <c r="AO31" s="198">
        <v>230.72601599999999</v>
      </c>
      <c r="AP31" s="198">
        <v>232.06444185000001</v>
      </c>
      <c r="AQ31" s="198">
        <v>233.4028677</v>
      </c>
      <c r="AR31" s="198">
        <v>234.74129354999999</v>
      </c>
      <c r="AS31" s="198">
        <v>236.07971939999999</v>
      </c>
      <c r="AT31" s="198">
        <v>242.07973207500001</v>
      </c>
      <c r="AU31" s="198">
        <v>248.07974475</v>
      </c>
      <c r="AV31" s="198">
        <v>254.079757425</v>
      </c>
      <c r="AW31" s="198">
        <v>260.07977010000002</v>
      </c>
      <c r="AX31" s="198">
        <v>264.03892875000003</v>
      </c>
      <c r="AY31" s="198">
        <v>267.99808739999997</v>
      </c>
      <c r="AZ31" s="198">
        <v>271.95724604999998</v>
      </c>
      <c r="BA31" s="198">
        <v>275.91640469999999</v>
      </c>
      <c r="BB31" s="198">
        <v>277.71850552500001</v>
      </c>
      <c r="BC31" s="198">
        <v>279.52060634999998</v>
      </c>
      <c r="BD31" s="198">
        <v>281.32270717500001</v>
      </c>
      <c r="BE31" s="198">
        <v>283.12480799999997</v>
      </c>
      <c r="BF31" s="198">
        <v>291.12323850000001</v>
      </c>
      <c r="BG31" s="198">
        <v>299.121669</v>
      </c>
      <c r="BH31" s="198">
        <v>307.12009949999998</v>
      </c>
      <c r="BI31" s="198">
        <v>315.11853000000002</v>
      </c>
      <c r="BJ31" s="198">
        <v>328.09562902499999</v>
      </c>
      <c r="BK31" s="198">
        <v>341.07272805000002</v>
      </c>
      <c r="BL31" s="198">
        <v>354.049827075</v>
      </c>
      <c r="BM31" s="198">
        <v>367.02692610000003</v>
      </c>
      <c r="BN31" s="198">
        <v>405.88296832499998</v>
      </c>
      <c r="BO31" s="198">
        <v>444.73901054999999</v>
      </c>
      <c r="BP31" s="198">
        <v>483.595052775</v>
      </c>
      <c r="BQ31" s="198">
        <v>522.45109500000001</v>
      </c>
      <c r="BR31" s="198">
        <v>525.31905832500001</v>
      </c>
      <c r="BS31" s="198">
        <v>528.18702165000002</v>
      </c>
      <c r="BT31" s="198">
        <v>531.05498497500002</v>
      </c>
      <c r="BU31" s="198">
        <v>533.92294830000003</v>
      </c>
      <c r="BV31" s="198">
        <v>539.10844372500003</v>
      </c>
      <c r="BW31" s="198">
        <v>544.29393915000003</v>
      </c>
      <c r="BX31" s="198">
        <v>549.47943457500003</v>
      </c>
      <c r="BY31" s="198">
        <v>554.66493000000003</v>
      </c>
      <c r="BZ31" s="198">
        <v>580.64917049999997</v>
      </c>
      <c r="CA31" s="198">
        <v>606.63341100000002</v>
      </c>
      <c r="CB31" s="198">
        <v>632.61765149999997</v>
      </c>
      <c r="CC31" s="198">
        <v>658.60189200000002</v>
      </c>
      <c r="CD31" s="198">
        <v>689.37160725000001</v>
      </c>
      <c r="CE31" s="198">
        <v>720.1413225</v>
      </c>
      <c r="CF31" s="198">
        <v>750.91103774999999</v>
      </c>
      <c r="CG31" s="198">
        <v>781.680753000001</v>
      </c>
      <c r="CH31" s="198">
        <v>814.56930375000002</v>
      </c>
      <c r="CI31" s="198">
        <v>847.45785450000005</v>
      </c>
      <c r="CJ31" s="198">
        <v>880.34640524999998</v>
      </c>
      <c r="CK31" s="198">
        <v>913.23495600000001</v>
      </c>
      <c r="CL31" s="198">
        <v>915.28042049999999</v>
      </c>
      <c r="CM31" s="198">
        <v>917.32588499999997</v>
      </c>
      <c r="CN31" s="198">
        <v>919.37134949999995</v>
      </c>
      <c r="CO31" s="198">
        <v>921.41681400000004</v>
      </c>
      <c r="CP31" s="198">
        <v>927.77976524999997</v>
      </c>
      <c r="CQ31" s="198">
        <v>934.14271650000001</v>
      </c>
      <c r="CR31" s="198">
        <v>940.50566775000004</v>
      </c>
      <c r="CS31" s="198">
        <v>946.86861900000099</v>
      </c>
      <c r="CT31" s="198">
        <v>1010.24579475</v>
      </c>
      <c r="CU31" s="198">
        <v>1073.6229705000001</v>
      </c>
      <c r="CV31" s="198">
        <v>1137.0001462499999</v>
      </c>
      <c r="CW31" s="198">
        <v>1200.377322</v>
      </c>
    </row>
    <row r="32" spans="1:101">
      <c r="A32" t="s">
        <v>135</v>
      </c>
      <c r="B32" s="198">
        <v>49.900112849999999</v>
      </c>
      <c r="C32" s="198">
        <v>50.140551600000002</v>
      </c>
      <c r="D32" s="198">
        <v>50.380990349999998</v>
      </c>
      <c r="E32" s="198">
        <v>50.6214291</v>
      </c>
      <c r="F32" s="198">
        <v>51.026109824999999</v>
      </c>
      <c r="G32" s="198">
        <v>51.430790549999998</v>
      </c>
      <c r="H32" s="198">
        <v>51.835471275000003</v>
      </c>
      <c r="I32" s="198">
        <v>52.240152000000002</v>
      </c>
      <c r="J32" s="198">
        <v>55.274241150000002</v>
      </c>
      <c r="K32" s="198">
        <v>58.308330300000002</v>
      </c>
      <c r="L32" s="198">
        <v>61.342419450000001</v>
      </c>
      <c r="M32" s="198">
        <v>64.376508599999994</v>
      </c>
      <c r="N32" s="198">
        <v>65.272229699999997</v>
      </c>
      <c r="O32" s="198">
        <v>66.1679508</v>
      </c>
      <c r="P32" s="198">
        <v>67.063671900000003</v>
      </c>
      <c r="Q32" s="198">
        <v>67.959393000000006</v>
      </c>
      <c r="R32" s="198">
        <v>68.393174250000001</v>
      </c>
      <c r="S32" s="198">
        <v>68.826955499999997</v>
      </c>
      <c r="T32" s="198">
        <v>69.260736750000007</v>
      </c>
      <c r="U32" s="198">
        <v>69.694518000000002</v>
      </c>
      <c r="V32" s="198">
        <v>71.029820624999999</v>
      </c>
      <c r="W32" s="198">
        <v>72.365123249999996</v>
      </c>
      <c r="X32" s="198">
        <v>73.700425874999993</v>
      </c>
      <c r="Y32" s="198">
        <v>75.035728500000005</v>
      </c>
      <c r="Z32" s="198">
        <v>75.085204349999998</v>
      </c>
      <c r="AA32" s="198">
        <v>75.134680200000005</v>
      </c>
      <c r="AB32" s="198">
        <v>75.184156049999999</v>
      </c>
      <c r="AC32" s="198">
        <v>75.233631900000006</v>
      </c>
      <c r="AD32" s="198">
        <v>75.570543599999993</v>
      </c>
      <c r="AE32" s="198">
        <v>75.907455299999995</v>
      </c>
      <c r="AF32" s="198">
        <v>76.244366999999997</v>
      </c>
      <c r="AG32" s="198">
        <v>76.581278699999999</v>
      </c>
      <c r="AH32" s="198">
        <v>78.223252274999993</v>
      </c>
      <c r="AI32" s="198">
        <v>79.865225850000002</v>
      </c>
      <c r="AJ32" s="198">
        <v>81.507199424999996</v>
      </c>
      <c r="AK32" s="198">
        <v>83.149173000000005</v>
      </c>
      <c r="AL32" s="198">
        <v>83.802670649999996</v>
      </c>
      <c r="AM32" s="198">
        <v>84.456168300000002</v>
      </c>
      <c r="AN32" s="198">
        <v>85.109665949999993</v>
      </c>
      <c r="AO32" s="198">
        <v>85.763163599999999</v>
      </c>
      <c r="AP32" s="198">
        <v>88.425539400000005</v>
      </c>
      <c r="AQ32" s="198">
        <v>91.087915199999998</v>
      </c>
      <c r="AR32" s="198">
        <v>93.750291000000004</v>
      </c>
      <c r="AS32" s="198">
        <v>96.412666799999997</v>
      </c>
      <c r="AT32" s="198">
        <v>97.487353650000003</v>
      </c>
      <c r="AU32" s="198">
        <v>98.562040499999995</v>
      </c>
      <c r="AV32" s="198">
        <v>99.636727350000001</v>
      </c>
      <c r="AW32" s="198">
        <v>100.71141419999999</v>
      </c>
      <c r="AX32" s="198">
        <v>105.6750615</v>
      </c>
      <c r="AY32" s="198">
        <v>110.6387088</v>
      </c>
      <c r="AZ32" s="198">
        <v>115.60235609999999</v>
      </c>
      <c r="BA32" s="198">
        <v>120.5660034</v>
      </c>
      <c r="BB32" s="198">
        <v>120.725089575</v>
      </c>
      <c r="BC32" s="198">
        <v>120.88417575</v>
      </c>
      <c r="BD32" s="198">
        <v>121.043261925</v>
      </c>
      <c r="BE32" s="198">
        <v>121.20234809999999</v>
      </c>
      <c r="BF32" s="198">
        <v>123.81004267500001</v>
      </c>
      <c r="BG32" s="198">
        <v>126.41773725</v>
      </c>
      <c r="BH32" s="198">
        <v>129.025431825</v>
      </c>
      <c r="BI32" s="198">
        <v>131.63312640000001</v>
      </c>
      <c r="BJ32" s="198">
        <v>135.30613815000001</v>
      </c>
      <c r="BK32" s="198">
        <v>138.97914990000001</v>
      </c>
      <c r="BL32" s="198">
        <v>142.65216165000001</v>
      </c>
      <c r="BM32" s="198">
        <v>146.32517340000001</v>
      </c>
      <c r="BN32" s="198">
        <v>146.54707110000001</v>
      </c>
      <c r="BO32" s="198">
        <v>146.76896880000001</v>
      </c>
      <c r="BP32" s="198">
        <v>146.99086650000001</v>
      </c>
      <c r="BQ32" s="198">
        <v>147.21276420000001</v>
      </c>
      <c r="BR32" s="198">
        <v>149.135332275</v>
      </c>
      <c r="BS32" s="198">
        <v>151.05790035000001</v>
      </c>
      <c r="BT32" s="198">
        <v>152.980468425</v>
      </c>
      <c r="BU32" s="198">
        <v>154.90303650000001</v>
      </c>
      <c r="BV32" s="198">
        <v>157.00174455000001</v>
      </c>
      <c r="BW32" s="198">
        <v>159.10045260000001</v>
      </c>
      <c r="BX32" s="198">
        <v>161.19916065000001</v>
      </c>
      <c r="BY32" s="198">
        <v>163.29786870000001</v>
      </c>
      <c r="BZ32" s="198">
        <v>164.14837739999999</v>
      </c>
      <c r="CA32" s="198">
        <v>164.99888609999999</v>
      </c>
      <c r="CB32" s="198">
        <v>165.8493948</v>
      </c>
      <c r="CC32" s="198">
        <v>166.6999035</v>
      </c>
      <c r="CD32" s="198">
        <v>166.82076735000001</v>
      </c>
      <c r="CE32" s="198">
        <v>166.94163119999999</v>
      </c>
      <c r="CF32" s="198">
        <v>167.06249505</v>
      </c>
      <c r="CG32" s="198">
        <v>167.1833589</v>
      </c>
      <c r="CH32" s="198">
        <v>170.49184567500001</v>
      </c>
      <c r="CI32" s="198">
        <v>173.80033245000001</v>
      </c>
      <c r="CJ32" s="198">
        <v>177.10881922499999</v>
      </c>
      <c r="CK32" s="198">
        <v>180.417306</v>
      </c>
      <c r="CL32" s="198">
        <v>180.74792167499999</v>
      </c>
      <c r="CM32" s="198">
        <v>181.07853735</v>
      </c>
      <c r="CN32" s="198">
        <v>181.40915302499999</v>
      </c>
      <c r="CO32" s="198">
        <v>181.73976870000001</v>
      </c>
      <c r="CP32" s="198">
        <v>185.019006225</v>
      </c>
      <c r="CQ32" s="198">
        <v>188.29824375000001</v>
      </c>
      <c r="CR32" s="198">
        <v>191.577481275</v>
      </c>
      <c r="CS32" s="198">
        <v>194.85671880000001</v>
      </c>
      <c r="CT32" s="198">
        <v>228.14434829999999</v>
      </c>
      <c r="CU32" s="198">
        <v>261.43197780000003</v>
      </c>
      <c r="CV32" s="198">
        <v>294.71960730000001</v>
      </c>
      <c r="CW32" s="198">
        <v>328.00723679999999</v>
      </c>
    </row>
    <row r="33" spans="1:103">
      <c r="A33" t="s">
        <v>208</v>
      </c>
      <c r="B33" s="198">
        <v>144.79340504999999</v>
      </c>
      <c r="C33" s="198">
        <v>154.60677630000001</v>
      </c>
      <c r="D33" s="198">
        <v>164.42014755</v>
      </c>
      <c r="E33" s="198">
        <v>174.23351880000001</v>
      </c>
      <c r="F33" s="198">
        <v>181.8524031</v>
      </c>
      <c r="G33" s="198">
        <v>189.47128739999999</v>
      </c>
      <c r="H33" s="198">
        <v>197.09017170000001</v>
      </c>
      <c r="I33" s="198">
        <v>204.709056</v>
      </c>
      <c r="J33" s="198">
        <v>207.29934975</v>
      </c>
      <c r="K33" s="198">
        <v>209.88964350000001</v>
      </c>
      <c r="L33" s="198">
        <v>212.47993725000001</v>
      </c>
      <c r="M33" s="198">
        <v>215.07023100000001</v>
      </c>
      <c r="N33" s="198">
        <v>215.10344624999999</v>
      </c>
      <c r="O33" s="198">
        <v>215.1366615</v>
      </c>
      <c r="P33" s="198">
        <v>215.16987674999999</v>
      </c>
      <c r="Q33" s="198">
        <v>215.203092</v>
      </c>
      <c r="R33" s="198">
        <v>215.37313424999999</v>
      </c>
      <c r="S33" s="198">
        <v>215.54317649999999</v>
      </c>
      <c r="T33" s="198">
        <v>215.71321875000001</v>
      </c>
      <c r="U33" s="198">
        <v>215.883261</v>
      </c>
      <c r="V33" s="198">
        <v>216.24763725</v>
      </c>
      <c r="W33" s="198">
        <v>216.61201349999999</v>
      </c>
      <c r="X33" s="198">
        <v>216.97638975000001</v>
      </c>
      <c r="Y33" s="198">
        <v>217.340766</v>
      </c>
      <c r="Z33" s="198">
        <v>219.25188224999999</v>
      </c>
      <c r="AA33" s="198">
        <v>221.16299849999999</v>
      </c>
      <c r="AB33" s="198">
        <v>223.07411475000001</v>
      </c>
      <c r="AC33" s="198">
        <v>224.985231</v>
      </c>
      <c r="AD33" s="198">
        <v>225.01051425</v>
      </c>
      <c r="AE33" s="198">
        <v>225.0357975</v>
      </c>
      <c r="AF33" s="198">
        <v>225.06108075</v>
      </c>
      <c r="AG33" s="198">
        <v>225.086364</v>
      </c>
      <c r="AH33" s="198">
        <v>226.51362825000001</v>
      </c>
      <c r="AI33" s="198">
        <v>227.94089249999999</v>
      </c>
      <c r="AJ33" s="198">
        <v>229.36815675</v>
      </c>
      <c r="AK33" s="198">
        <v>230.795421</v>
      </c>
      <c r="AL33" s="198">
        <v>232.63019174999999</v>
      </c>
      <c r="AM33" s="198">
        <v>234.46496250000001</v>
      </c>
      <c r="AN33" s="198">
        <v>236.29973325</v>
      </c>
      <c r="AO33" s="198">
        <v>238.13450399999999</v>
      </c>
      <c r="AP33" s="198">
        <v>239.34562124999999</v>
      </c>
      <c r="AQ33" s="198">
        <v>240.55673849999999</v>
      </c>
      <c r="AR33" s="198">
        <v>241.76785575</v>
      </c>
      <c r="AS33" s="198">
        <v>242.978973</v>
      </c>
      <c r="AT33" s="198">
        <v>246.50127674999999</v>
      </c>
      <c r="AU33" s="198">
        <v>250.02358050000001</v>
      </c>
      <c r="AV33" s="198">
        <v>253.54588425</v>
      </c>
      <c r="AW33" s="198">
        <v>257.06818800000002</v>
      </c>
      <c r="AX33" s="198">
        <v>257.41769175000002</v>
      </c>
      <c r="AY33" s="198">
        <v>257.76719550000001</v>
      </c>
      <c r="AZ33" s="198">
        <v>258.11669925000001</v>
      </c>
      <c r="BA33" s="198">
        <v>258.46620300000001</v>
      </c>
      <c r="BB33" s="198">
        <v>265.712085</v>
      </c>
      <c r="BC33" s="198">
        <v>272.957967</v>
      </c>
      <c r="BD33" s="198">
        <v>280.20384899999999</v>
      </c>
      <c r="BE33" s="198">
        <v>287.44973099999999</v>
      </c>
      <c r="BF33" s="198">
        <v>287.71694024999999</v>
      </c>
      <c r="BG33" s="198">
        <v>287.9841495</v>
      </c>
      <c r="BH33" s="198">
        <v>288.25135875000001</v>
      </c>
      <c r="BI33" s="198">
        <v>288.51856800000002</v>
      </c>
      <c r="BJ33" s="198">
        <v>289.1442045</v>
      </c>
      <c r="BK33" s="198">
        <v>289.76984099999999</v>
      </c>
      <c r="BL33" s="198">
        <v>290.39547750000003</v>
      </c>
      <c r="BM33" s="198">
        <v>291.02111400000001</v>
      </c>
      <c r="BN33" s="198">
        <v>294.53697299999999</v>
      </c>
      <c r="BO33" s="198">
        <v>298.05283200000002</v>
      </c>
      <c r="BP33" s="198">
        <v>301.568691</v>
      </c>
      <c r="BQ33" s="198">
        <v>305.08454999999998</v>
      </c>
      <c r="BR33" s="198">
        <v>308.84134349999999</v>
      </c>
      <c r="BS33" s="198">
        <v>312.59813700000001</v>
      </c>
      <c r="BT33" s="198">
        <v>316.35493050000002</v>
      </c>
      <c r="BU33" s="198">
        <v>320.11172399999998</v>
      </c>
      <c r="BV33" s="198">
        <v>322.02933457500001</v>
      </c>
      <c r="BW33" s="198">
        <v>323.94694514999998</v>
      </c>
      <c r="BX33" s="198">
        <v>325.864555725</v>
      </c>
      <c r="BY33" s="198">
        <v>327.78216629999997</v>
      </c>
      <c r="BZ33" s="198">
        <v>330.99209797499998</v>
      </c>
      <c r="CA33" s="198">
        <v>334.20202964999999</v>
      </c>
      <c r="CB33" s="198">
        <v>337.41196132499999</v>
      </c>
      <c r="CC33" s="198">
        <v>340.621893</v>
      </c>
      <c r="CD33" s="198">
        <v>342.04766999999998</v>
      </c>
      <c r="CE33" s="198">
        <v>343.47344700000002</v>
      </c>
      <c r="CF33" s="198">
        <v>344.899224</v>
      </c>
      <c r="CG33" s="198">
        <v>346.32500099999999</v>
      </c>
      <c r="CH33" s="198">
        <v>371.12539049999998</v>
      </c>
      <c r="CI33" s="198">
        <v>395.92577999999997</v>
      </c>
      <c r="CJ33" s="198">
        <v>420.72616950000003</v>
      </c>
      <c r="CK33" s="198">
        <v>445.52655900000002</v>
      </c>
      <c r="CL33" s="198">
        <v>455.25565275000002</v>
      </c>
      <c r="CM33" s="198">
        <v>464.98474650000003</v>
      </c>
      <c r="CN33" s="198">
        <v>474.71384024999998</v>
      </c>
      <c r="CO33" s="198">
        <v>484.44293399999998</v>
      </c>
      <c r="CP33" s="198">
        <v>499.30799775000003</v>
      </c>
      <c r="CQ33" s="198">
        <v>514.17306150000002</v>
      </c>
      <c r="CR33" s="198">
        <v>529.03812525000001</v>
      </c>
      <c r="CS33" s="198">
        <v>543.903189</v>
      </c>
      <c r="CT33" s="198">
        <v>544.35382575000006</v>
      </c>
      <c r="CU33" s="198">
        <v>544.8044625</v>
      </c>
      <c r="CV33" s="198">
        <v>545.25509924999994</v>
      </c>
      <c r="CW33" s="198">
        <v>545.705736</v>
      </c>
    </row>
    <row r="34" spans="1:103" ht="17.100000000000001" customHeight="1">
      <c r="A34" t="s">
        <v>209</v>
      </c>
      <c r="B34" s="198">
        <v>8.8230461775000002</v>
      </c>
      <c r="C34" s="198">
        <v>9.6634267049999991</v>
      </c>
      <c r="D34" s="198">
        <v>10.5038072325</v>
      </c>
      <c r="E34" s="198">
        <v>11.344187760000001</v>
      </c>
      <c r="F34" s="198">
        <v>11.8171977075</v>
      </c>
      <c r="G34" s="198">
        <v>12.290207655</v>
      </c>
      <c r="H34" s="198">
        <v>12.763217602499999</v>
      </c>
      <c r="I34" s="198">
        <v>13.236227550000001</v>
      </c>
      <c r="J34" s="198">
        <v>13.4489786625</v>
      </c>
      <c r="K34" s="198">
        <v>13.661729775</v>
      </c>
      <c r="L34" s="198">
        <v>13.874480887500001</v>
      </c>
      <c r="M34" s="198">
        <v>14.087232</v>
      </c>
      <c r="N34" s="198">
        <v>14.3156736</v>
      </c>
      <c r="O34" s="198">
        <v>14.5441152</v>
      </c>
      <c r="P34" s="198">
        <v>14.7725568</v>
      </c>
      <c r="Q34" s="198">
        <v>15.0009984</v>
      </c>
      <c r="R34" s="198">
        <v>15.083540774999999</v>
      </c>
      <c r="S34" s="198">
        <v>15.16608315</v>
      </c>
      <c r="T34" s="198">
        <v>15.248625525</v>
      </c>
      <c r="U34" s="198">
        <v>15.331167900000001</v>
      </c>
      <c r="V34" s="198">
        <v>15.456890100000001</v>
      </c>
      <c r="W34" s="198">
        <v>15.582612299999999</v>
      </c>
      <c r="X34" s="198">
        <v>15.708334499999999</v>
      </c>
      <c r="Y34" s="198">
        <v>15.8340567</v>
      </c>
      <c r="Z34" s="198">
        <v>16.096258875</v>
      </c>
      <c r="AA34" s="198">
        <v>16.358461049999999</v>
      </c>
      <c r="AB34" s="198">
        <v>16.620663225000001</v>
      </c>
      <c r="AC34" s="198">
        <v>16.8828654</v>
      </c>
      <c r="AD34" s="198">
        <v>16.963276050000001</v>
      </c>
      <c r="AE34" s="198">
        <v>17.043686699999999</v>
      </c>
      <c r="AF34" s="198">
        <v>17.12409735</v>
      </c>
      <c r="AG34" s="198">
        <v>17.204508000000001</v>
      </c>
      <c r="AH34" s="198">
        <v>17.69282175</v>
      </c>
      <c r="AI34" s="198">
        <v>18.1811355</v>
      </c>
      <c r="AJ34" s="198">
        <v>18.66944925</v>
      </c>
      <c r="AK34" s="198">
        <v>19.157762999999999</v>
      </c>
      <c r="AL34" s="198">
        <v>19.26811695</v>
      </c>
      <c r="AM34" s="198">
        <v>19.3784709</v>
      </c>
      <c r="AN34" s="198">
        <v>19.48882485</v>
      </c>
      <c r="AO34" s="198">
        <v>19.599178800000001</v>
      </c>
      <c r="AP34" s="198">
        <v>19.774426425000001</v>
      </c>
      <c r="AQ34" s="198">
        <v>19.949674049999999</v>
      </c>
      <c r="AR34" s="198">
        <v>20.124921675</v>
      </c>
      <c r="AS34" s="198">
        <v>20.3001693</v>
      </c>
      <c r="AT34" s="198">
        <v>21.212894625000001</v>
      </c>
      <c r="AU34" s="198">
        <v>22.125619950000001</v>
      </c>
      <c r="AV34" s="198">
        <v>23.038345275000001</v>
      </c>
      <c r="AW34" s="198">
        <v>23.951070600000001</v>
      </c>
      <c r="AX34" s="198">
        <v>25.108845150000001</v>
      </c>
      <c r="AY34" s="198">
        <v>26.2666197</v>
      </c>
      <c r="AZ34" s="198">
        <v>27.424394249999999</v>
      </c>
      <c r="BA34" s="198">
        <v>28.582168800000002</v>
      </c>
      <c r="BB34" s="198">
        <v>28.5940668</v>
      </c>
      <c r="BC34" s="198">
        <v>28.605964799999999</v>
      </c>
      <c r="BD34" s="198">
        <v>28.617862800000001</v>
      </c>
      <c r="BE34" s="198">
        <v>28.6297608</v>
      </c>
      <c r="BF34" s="198">
        <v>29.5377765</v>
      </c>
      <c r="BG34" s="198">
        <v>30.4457922</v>
      </c>
      <c r="BH34" s="198">
        <v>31.3538079</v>
      </c>
      <c r="BI34" s="198">
        <v>32.2618236</v>
      </c>
      <c r="BJ34" s="198">
        <v>34.536721200000002</v>
      </c>
      <c r="BK34" s="198">
        <v>36.811618799999998</v>
      </c>
      <c r="BL34" s="198">
        <v>39.086516400000001</v>
      </c>
      <c r="BM34" s="198">
        <v>41.361414000000003</v>
      </c>
      <c r="BN34" s="198">
        <v>44.840537925</v>
      </c>
      <c r="BO34" s="198">
        <v>48.319661850000003</v>
      </c>
      <c r="BP34" s="198">
        <v>51.798785774999999</v>
      </c>
      <c r="BQ34" s="198">
        <v>55.277909700000002</v>
      </c>
      <c r="BR34" s="198">
        <v>55.337895449999998</v>
      </c>
      <c r="BS34" s="198">
        <v>55.3978812</v>
      </c>
      <c r="BT34" s="198">
        <v>55.457866950000003</v>
      </c>
      <c r="BU34" s="198">
        <v>55.517852699999999</v>
      </c>
      <c r="BV34" s="198">
        <v>57.046745700000002</v>
      </c>
      <c r="BW34" s="198">
        <v>58.575638699999999</v>
      </c>
      <c r="BX34" s="198">
        <v>60.104531700000003</v>
      </c>
      <c r="BY34" s="198">
        <v>61.633424699999999</v>
      </c>
      <c r="BZ34" s="198">
        <v>61.726675274999998</v>
      </c>
      <c r="CA34" s="198">
        <v>61.819925849999997</v>
      </c>
      <c r="CB34" s="198">
        <v>61.913176425000003</v>
      </c>
      <c r="CC34" s="198">
        <v>62.006427000000002</v>
      </c>
      <c r="CD34" s="198">
        <v>62.057637974999999</v>
      </c>
      <c r="CE34" s="198">
        <v>62.108848950000002</v>
      </c>
      <c r="CF34" s="198">
        <v>62.160059924999999</v>
      </c>
      <c r="CG34" s="198">
        <v>62.211270900000002</v>
      </c>
      <c r="CH34" s="198">
        <v>64.401742275000004</v>
      </c>
      <c r="CI34" s="198">
        <v>66.592213650000005</v>
      </c>
      <c r="CJ34" s="198">
        <v>68.782685025000006</v>
      </c>
      <c r="CK34" s="198">
        <v>70.973156399999993</v>
      </c>
      <c r="CL34" s="198">
        <v>74.533583324999995</v>
      </c>
      <c r="CM34" s="198">
        <v>78.094010249999997</v>
      </c>
      <c r="CN34" s="198">
        <v>81.654437174999998</v>
      </c>
      <c r="CO34" s="198">
        <v>85.2148641</v>
      </c>
      <c r="CP34" s="198">
        <v>86.994309150000007</v>
      </c>
      <c r="CQ34" s="198">
        <v>88.773754199999999</v>
      </c>
      <c r="CR34" s="198">
        <v>90.553199250000006</v>
      </c>
      <c r="CS34" s="198">
        <v>92.332644300000098</v>
      </c>
      <c r="CT34" s="198">
        <v>97.495930125000001</v>
      </c>
      <c r="CU34" s="198">
        <v>102.65921595</v>
      </c>
      <c r="CV34" s="198">
        <v>107.82250177500001</v>
      </c>
      <c r="CW34" s="198">
        <v>112.98578759999999</v>
      </c>
    </row>
    <row r="35" spans="1:103" s="191" customFormat="1" ht="14.25" customHeight="1">
      <c r="A35" t="s">
        <v>210</v>
      </c>
      <c r="B35" s="198">
        <v>40.652094900000002</v>
      </c>
      <c r="C35" s="198">
        <v>44.555432099999997</v>
      </c>
      <c r="D35" s="198">
        <v>48.4587693</v>
      </c>
      <c r="E35" s="198">
        <v>52.362106500000003</v>
      </c>
      <c r="F35" s="198">
        <v>53.775043574999998</v>
      </c>
      <c r="G35" s="198">
        <v>55.18798065</v>
      </c>
      <c r="H35" s="198">
        <v>56.600917725000002</v>
      </c>
      <c r="I35" s="198">
        <v>58.013854799999997</v>
      </c>
      <c r="J35" s="198">
        <v>59.104703100000002</v>
      </c>
      <c r="K35" s="198">
        <v>60.195551399999999</v>
      </c>
      <c r="L35" s="198">
        <v>61.286399699999997</v>
      </c>
      <c r="M35" s="198">
        <v>62.377248000000002</v>
      </c>
      <c r="N35" s="198">
        <v>63.193202925000001</v>
      </c>
      <c r="O35" s="198">
        <v>64.009157849999994</v>
      </c>
      <c r="P35" s="198">
        <v>64.825112774999994</v>
      </c>
      <c r="Q35" s="198">
        <v>65.641067699999994</v>
      </c>
      <c r="R35" s="198">
        <v>66.151244024999997</v>
      </c>
      <c r="S35" s="198">
        <v>66.66142035</v>
      </c>
      <c r="T35" s="198">
        <v>67.171596675000004</v>
      </c>
      <c r="U35" s="198">
        <v>67.681773000000007</v>
      </c>
      <c r="V35" s="198">
        <v>67.731695024999993</v>
      </c>
      <c r="W35" s="198">
        <v>67.781617049999994</v>
      </c>
      <c r="X35" s="198">
        <v>67.831539074999995</v>
      </c>
      <c r="Y35" s="198">
        <v>67.881461099999996</v>
      </c>
      <c r="Z35" s="198">
        <v>68.456184074999996</v>
      </c>
      <c r="AA35" s="198">
        <v>69.030907049999996</v>
      </c>
      <c r="AB35" s="198">
        <v>69.605630024999996</v>
      </c>
      <c r="AC35" s="198">
        <v>70.180352999999997</v>
      </c>
      <c r="AD35" s="198">
        <v>70.364920725000005</v>
      </c>
      <c r="AE35" s="198">
        <v>70.549488449999998</v>
      </c>
      <c r="AF35" s="198">
        <v>70.734056175000006</v>
      </c>
      <c r="AG35" s="198">
        <v>70.9186239</v>
      </c>
      <c r="AH35" s="198">
        <v>71.487348299999994</v>
      </c>
      <c r="AI35" s="198">
        <v>72.056072700000001</v>
      </c>
      <c r="AJ35" s="198">
        <v>72.624797099999995</v>
      </c>
      <c r="AK35" s="198">
        <v>73.193521500000003</v>
      </c>
      <c r="AL35" s="198">
        <v>74.059348874999998</v>
      </c>
      <c r="AM35" s="198">
        <v>74.925176250000007</v>
      </c>
      <c r="AN35" s="198">
        <v>75.791003625000002</v>
      </c>
      <c r="AO35" s="198">
        <v>76.656830999999997</v>
      </c>
      <c r="AP35" s="198">
        <v>78.760843574999996</v>
      </c>
      <c r="AQ35" s="198">
        <v>80.864856149999994</v>
      </c>
      <c r="AR35" s="198">
        <v>82.968868724999993</v>
      </c>
      <c r="AS35" s="198">
        <v>85.072881300000006</v>
      </c>
      <c r="AT35" s="198">
        <v>85.319516925000002</v>
      </c>
      <c r="AU35" s="198">
        <v>85.566152549999998</v>
      </c>
      <c r="AV35" s="198">
        <v>85.812788174999994</v>
      </c>
      <c r="AW35" s="198">
        <v>86.059423800000005</v>
      </c>
      <c r="AX35" s="198">
        <v>86.855251275000001</v>
      </c>
      <c r="AY35" s="198">
        <v>87.651078749999996</v>
      </c>
      <c r="AZ35" s="198">
        <v>88.446906225000006</v>
      </c>
      <c r="BA35" s="198">
        <v>89.242733700000002</v>
      </c>
      <c r="BB35" s="198">
        <v>89.681819474999998</v>
      </c>
      <c r="BC35" s="198">
        <v>90.120905250000007</v>
      </c>
      <c r="BD35" s="198">
        <v>90.559991025000002</v>
      </c>
      <c r="BE35" s="198">
        <v>90.999076799999997</v>
      </c>
      <c r="BF35" s="198">
        <v>92.747537475000001</v>
      </c>
      <c r="BG35" s="198">
        <v>94.495998150000005</v>
      </c>
      <c r="BH35" s="198">
        <v>96.244458824999995</v>
      </c>
      <c r="BI35" s="198">
        <v>97.992919499999999</v>
      </c>
      <c r="BJ35" s="198">
        <v>98.440631324999998</v>
      </c>
      <c r="BK35" s="198">
        <v>98.888343149999997</v>
      </c>
      <c r="BL35" s="198">
        <v>99.336054974999996</v>
      </c>
      <c r="BM35" s="198">
        <v>99.783766799999995</v>
      </c>
      <c r="BN35" s="198">
        <v>103.28490202499999</v>
      </c>
      <c r="BO35" s="198">
        <v>106.78603725000001</v>
      </c>
      <c r="BP35" s="198">
        <v>110.28717247500001</v>
      </c>
      <c r="BQ35" s="198">
        <v>113.7883077</v>
      </c>
      <c r="BR35" s="198">
        <v>119.090899275</v>
      </c>
      <c r="BS35" s="198">
        <v>124.39349085000001</v>
      </c>
      <c r="BT35" s="198">
        <v>129.69608242499999</v>
      </c>
      <c r="BU35" s="198">
        <v>134.99867399999999</v>
      </c>
      <c r="BV35" s="198">
        <v>136.94994600000001</v>
      </c>
      <c r="BW35" s="198">
        <v>138.901218</v>
      </c>
      <c r="BX35" s="198">
        <v>140.85248999999999</v>
      </c>
      <c r="BY35" s="198">
        <v>142.80376200000001</v>
      </c>
      <c r="BZ35" s="198">
        <v>146.95418100000001</v>
      </c>
      <c r="CA35" s="198">
        <v>151.1046</v>
      </c>
      <c r="CB35" s="198">
        <v>155.255019</v>
      </c>
      <c r="CC35" s="198">
        <v>159.405438</v>
      </c>
      <c r="CD35" s="198">
        <v>164.20628099999999</v>
      </c>
      <c r="CE35" s="198">
        <v>169.007124</v>
      </c>
      <c r="CF35" s="198">
        <v>173.80796699999999</v>
      </c>
      <c r="CG35" s="198">
        <v>178.60881000000001</v>
      </c>
      <c r="CH35" s="198">
        <v>179.08641555</v>
      </c>
      <c r="CI35" s="198">
        <v>179.56402109999999</v>
      </c>
      <c r="CJ35" s="198">
        <v>180.04162665000001</v>
      </c>
      <c r="CK35" s="198">
        <v>180.5192322</v>
      </c>
      <c r="CL35" s="198">
        <v>181.6186074</v>
      </c>
      <c r="CM35" s="198">
        <v>182.7179826</v>
      </c>
      <c r="CN35" s="198">
        <v>183.8173578</v>
      </c>
      <c r="CO35" s="198">
        <v>184.91673299999999</v>
      </c>
      <c r="CP35" s="198">
        <v>191.58556200000001</v>
      </c>
      <c r="CQ35" s="198">
        <v>198.254391</v>
      </c>
      <c r="CR35" s="198">
        <v>204.92321999999999</v>
      </c>
      <c r="CS35" s="198">
        <v>211.592049</v>
      </c>
      <c r="CT35" s="198">
        <v>220.48729125</v>
      </c>
      <c r="CU35" s="198">
        <v>229.38253349999999</v>
      </c>
      <c r="CV35" s="198">
        <v>238.27777574999999</v>
      </c>
      <c r="CW35" s="198">
        <v>247.17301800000001</v>
      </c>
    </row>
    <row r="36" spans="1:103">
      <c r="A36" t="s">
        <v>155</v>
      </c>
      <c r="B36" s="198">
        <v>130.60206554999999</v>
      </c>
      <c r="C36" s="198">
        <v>138.95852669999999</v>
      </c>
      <c r="D36" s="198">
        <v>147.31498784999999</v>
      </c>
      <c r="E36" s="198">
        <v>155.671449</v>
      </c>
      <c r="F36" s="198">
        <v>160.37819865</v>
      </c>
      <c r="G36" s="198">
        <v>165.08494830000001</v>
      </c>
      <c r="H36" s="198">
        <v>169.79169795000001</v>
      </c>
      <c r="I36" s="198">
        <v>174.49844759999999</v>
      </c>
      <c r="J36" s="198">
        <v>176.28562635</v>
      </c>
      <c r="K36" s="198">
        <v>178.07280510000001</v>
      </c>
      <c r="L36" s="198">
        <v>179.85998384999999</v>
      </c>
      <c r="M36" s="198">
        <v>181.6471626</v>
      </c>
      <c r="N36" s="198">
        <v>190.4165835</v>
      </c>
      <c r="O36" s="198">
        <v>199.1860044</v>
      </c>
      <c r="P36" s="198">
        <v>207.9554253</v>
      </c>
      <c r="Q36" s="198">
        <v>216.7248462</v>
      </c>
      <c r="R36" s="198">
        <v>217.6677627</v>
      </c>
      <c r="S36" s="198">
        <v>218.61067919999999</v>
      </c>
      <c r="T36" s="198">
        <v>219.55359569999999</v>
      </c>
      <c r="U36" s="198">
        <v>220.49651220000001</v>
      </c>
      <c r="V36" s="198">
        <v>220.76054865</v>
      </c>
      <c r="W36" s="198">
        <v>221.0245851</v>
      </c>
      <c r="X36" s="198">
        <v>221.28862154999999</v>
      </c>
      <c r="Y36" s="198">
        <v>221.55265800000001</v>
      </c>
      <c r="Z36" s="198">
        <v>221.84029215000001</v>
      </c>
      <c r="AA36" s="198">
        <v>222.12792630000001</v>
      </c>
      <c r="AB36" s="198">
        <v>222.41556044999999</v>
      </c>
      <c r="AC36" s="198">
        <v>222.70319459999999</v>
      </c>
      <c r="AD36" s="198">
        <v>226.10413875</v>
      </c>
      <c r="AE36" s="198">
        <v>229.50508289999999</v>
      </c>
      <c r="AF36" s="198">
        <v>232.90602705000001</v>
      </c>
      <c r="AG36" s="198">
        <v>236.30697119999999</v>
      </c>
      <c r="AH36" s="198">
        <v>236.988776175</v>
      </c>
      <c r="AI36" s="198">
        <v>237.67058115</v>
      </c>
      <c r="AJ36" s="198">
        <v>238.35238612500001</v>
      </c>
      <c r="AK36" s="198">
        <v>239.03419109999999</v>
      </c>
      <c r="AL36" s="198">
        <v>239.16477165000001</v>
      </c>
      <c r="AM36" s="198">
        <v>239.2953522</v>
      </c>
      <c r="AN36" s="198">
        <v>239.42593274999999</v>
      </c>
      <c r="AO36" s="198">
        <v>239.55651330000001</v>
      </c>
      <c r="AP36" s="198">
        <v>240.35853764999999</v>
      </c>
      <c r="AQ36" s="198">
        <v>241.160562</v>
      </c>
      <c r="AR36" s="198">
        <v>241.96258635000001</v>
      </c>
      <c r="AS36" s="198">
        <v>242.76461069999999</v>
      </c>
      <c r="AT36" s="198">
        <v>243.37244977500001</v>
      </c>
      <c r="AU36" s="198">
        <v>243.98028884999999</v>
      </c>
      <c r="AV36" s="198">
        <v>244.58812792500001</v>
      </c>
      <c r="AW36" s="198">
        <v>245.195967</v>
      </c>
      <c r="AX36" s="198">
        <v>248.65481475000001</v>
      </c>
      <c r="AY36" s="198">
        <v>252.1136625</v>
      </c>
      <c r="AZ36" s="198">
        <v>255.57251024999999</v>
      </c>
      <c r="BA36" s="198">
        <v>259.03135800000001</v>
      </c>
      <c r="BB36" s="198">
        <v>259.89991199999997</v>
      </c>
      <c r="BC36" s="198">
        <v>260.76846599999999</v>
      </c>
      <c r="BD36" s="198">
        <v>261.63702000000001</v>
      </c>
      <c r="BE36" s="198">
        <v>262.50557400000002</v>
      </c>
      <c r="BF36" s="198">
        <v>262.92844874999997</v>
      </c>
      <c r="BG36" s="198">
        <v>263.35132349999998</v>
      </c>
      <c r="BH36" s="198">
        <v>263.77419824999998</v>
      </c>
      <c r="BI36" s="198">
        <v>264.19707299999999</v>
      </c>
      <c r="BJ36" s="198">
        <v>264.63571259999998</v>
      </c>
      <c r="BK36" s="198">
        <v>265.07435220000002</v>
      </c>
      <c r="BL36" s="198">
        <v>265.51299180000001</v>
      </c>
      <c r="BM36" s="198">
        <v>265.9516314</v>
      </c>
      <c r="BN36" s="198">
        <v>266.11369207500002</v>
      </c>
      <c r="BO36" s="198">
        <v>266.27575274999998</v>
      </c>
      <c r="BP36" s="198">
        <v>266.437813425</v>
      </c>
      <c r="BQ36" s="198">
        <v>266.59987410000002</v>
      </c>
      <c r="BR36" s="198">
        <v>268.12539600000002</v>
      </c>
      <c r="BS36" s="198">
        <v>269.65091790000002</v>
      </c>
      <c r="BT36" s="198">
        <v>271.17643980000003</v>
      </c>
      <c r="BU36" s="198">
        <v>272.70196170000003</v>
      </c>
      <c r="BV36" s="198">
        <v>272.84498557500001</v>
      </c>
      <c r="BW36" s="198">
        <v>272.98800944999999</v>
      </c>
      <c r="BX36" s="198">
        <v>273.13103332499998</v>
      </c>
      <c r="BY36" s="198">
        <v>273.27405720000002</v>
      </c>
      <c r="BZ36" s="198">
        <v>274.97854484999999</v>
      </c>
      <c r="CA36" s="198">
        <v>276.68303250000002</v>
      </c>
      <c r="CB36" s="198">
        <v>278.38752015</v>
      </c>
      <c r="CC36" s="198">
        <v>280.09200779999998</v>
      </c>
      <c r="CD36" s="198">
        <v>280.56217709999999</v>
      </c>
      <c r="CE36" s="198">
        <v>281.03234639999999</v>
      </c>
      <c r="CF36" s="198">
        <v>281.5025157</v>
      </c>
      <c r="CG36" s="198">
        <v>281.97268500000001</v>
      </c>
      <c r="CH36" s="198">
        <v>282.42748605000003</v>
      </c>
      <c r="CI36" s="198">
        <v>282.88228709999999</v>
      </c>
      <c r="CJ36" s="198">
        <v>283.33708815</v>
      </c>
      <c r="CK36" s="198">
        <v>283.79188920000001</v>
      </c>
      <c r="CL36" s="198">
        <v>290.6439474</v>
      </c>
      <c r="CM36" s="198">
        <v>297.49600559999999</v>
      </c>
      <c r="CN36" s="198">
        <v>304.34806379999998</v>
      </c>
      <c r="CO36" s="198">
        <v>311.20012200000002</v>
      </c>
      <c r="CP36" s="198">
        <v>313.21088400000002</v>
      </c>
      <c r="CQ36" s="198">
        <v>315.22164600000002</v>
      </c>
      <c r="CR36" s="198">
        <v>317.23240800000002</v>
      </c>
      <c r="CS36" s="198">
        <v>319.24317000000002</v>
      </c>
      <c r="CT36" s="198">
        <v>339.72359399999999</v>
      </c>
      <c r="CU36" s="198">
        <v>360.20401800000002</v>
      </c>
      <c r="CV36" s="198">
        <v>380.68444199999999</v>
      </c>
      <c r="CW36" s="198">
        <v>401.16486600000002</v>
      </c>
    </row>
    <row r="37" spans="1:103">
      <c r="A37" t="s">
        <v>138</v>
      </c>
      <c r="B37" s="198">
        <v>0.99716146500000002</v>
      </c>
      <c r="C37" s="198">
        <v>1.01277759</v>
      </c>
      <c r="D37" s="198">
        <v>1.028393715</v>
      </c>
      <c r="E37" s="198">
        <v>1.04400984</v>
      </c>
      <c r="F37" s="198">
        <v>1.164566325</v>
      </c>
      <c r="G37" s="198">
        <v>1.2851228100000001</v>
      </c>
      <c r="H37" s="198">
        <v>1.4056792950000001</v>
      </c>
      <c r="I37" s="198">
        <v>1.5262357799999999</v>
      </c>
      <c r="J37" s="198">
        <v>1.5559460775</v>
      </c>
      <c r="K37" s="198">
        <v>1.5856563749999999</v>
      </c>
      <c r="L37" s="198">
        <v>1.6153666725</v>
      </c>
      <c r="M37" s="198">
        <v>1.6450769700000001</v>
      </c>
      <c r="N37" s="198">
        <v>1.6770825899999999</v>
      </c>
      <c r="O37" s="198">
        <v>1.70908821</v>
      </c>
      <c r="P37" s="198">
        <v>1.7410938300000001</v>
      </c>
      <c r="Q37" s="198">
        <v>1.7730994499999999</v>
      </c>
      <c r="R37" s="198">
        <v>1.7754840075</v>
      </c>
      <c r="S37" s="198">
        <v>1.7778685649999999</v>
      </c>
      <c r="T37" s="198">
        <v>1.7802531225</v>
      </c>
      <c r="U37" s="198">
        <v>1.7826376799999999</v>
      </c>
      <c r="V37" s="198">
        <v>1.89933723</v>
      </c>
      <c r="W37" s="198">
        <v>2.0160367799999999</v>
      </c>
      <c r="X37" s="198">
        <v>2.1327363300000002</v>
      </c>
      <c r="Y37" s="198">
        <v>2.2494358800000001</v>
      </c>
      <c r="Z37" s="198">
        <v>2.2756808849999999</v>
      </c>
      <c r="AA37" s="198">
        <v>2.3019258900000001</v>
      </c>
      <c r="AB37" s="198">
        <v>2.328170895</v>
      </c>
      <c r="AC37" s="198">
        <v>2.3544158999999998</v>
      </c>
      <c r="AD37" s="198">
        <v>2.3826786074999999</v>
      </c>
      <c r="AE37" s="198">
        <v>2.4109413150000001</v>
      </c>
      <c r="AF37" s="198">
        <v>2.4392040224999998</v>
      </c>
      <c r="AG37" s="198">
        <v>2.4674667299999999</v>
      </c>
      <c r="AH37" s="198">
        <v>2.5582682999999999</v>
      </c>
      <c r="AI37" s="198">
        <v>2.6490698699999999</v>
      </c>
      <c r="AJ37" s="198">
        <v>2.7398714399999999</v>
      </c>
      <c r="AK37" s="198">
        <v>2.8306730099999999</v>
      </c>
      <c r="AL37" s="198">
        <v>2.9016247499999999</v>
      </c>
      <c r="AM37" s="198">
        <v>2.9725764899999998</v>
      </c>
      <c r="AN37" s="198">
        <v>3.0435282300000002</v>
      </c>
      <c r="AO37" s="198">
        <v>3.1144799700000001</v>
      </c>
      <c r="AP37" s="198">
        <v>3.1951335374999998</v>
      </c>
      <c r="AQ37" s="198">
        <v>3.275787105</v>
      </c>
      <c r="AR37" s="198">
        <v>3.3564406725000002</v>
      </c>
      <c r="AS37" s="198">
        <v>3.43709424</v>
      </c>
      <c r="AT37" s="198">
        <v>3.5496344474999999</v>
      </c>
      <c r="AU37" s="198">
        <v>3.6621746549999998</v>
      </c>
      <c r="AV37" s="198">
        <v>3.7747148625000002</v>
      </c>
      <c r="AW37" s="198">
        <v>3.8872550700000001</v>
      </c>
      <c r="AX37" s="198">
        <v>3.9344802149999998</v>
      </c>
      <c r="AY37" s="198">
        <v>3.9817053599999999</v>
      </c>
      <c r="AZ37" s="198">
        <v>4.0289305049999999</v>
      </c>
      <c r="BA37" s="198">
        <v>4.0761556499999996</v>
      </c>
      <c r="BB37" s="198">
        <v>4.1205996374999998</v>
      </c>
      <c r="BC37" s="198">
        <v>4.165043625</v>
      </c>
      <c r="BD37" s="198">
        <v>4.2094876125000003</v>
      </c>
      <c r="BE37" s="198">
        <v>4.2539315999999996</v>
      </c>
      <c r="BF37" s="198">
        <v>4.3527940650000003</v>
      </c>
      <c r="BG37" s="198">
        <v>4.4516565300000002</v>
      </c>
      <c r="BH37" s="198">
        <v>4.550518995</v>
      </c>
      <c r="BI37" s="198">
        <v>4.6493814599999999</v>
      </c>
      <c r="BJ37" s="198">
        <v>4.7398112174999998</v>
      </c>
      <c r="BK37" s="198">
        <v>4.8302409749999997</v>
      </c>
      <c r="BL37" s="198">
        <v>4.9206707324999996</v>
      </c>
      <c r="BM37" s="198">
        <v>5.0111004899999996</v>
      </c>
      <c r="BN37" s="198">
        <v>5.1026903025000001</v>
      </c>
      <c r="BO37" s="198">
        <v>5.1942801149999998</v>
      </c>
      <c r="BP37" s="198">
        <v>5.2858699275000003</v>
      </c>
      <c r="BQ37" s="198">
        <v>5.3774597399999999</v>
      </c>
      <c r="BR37" s="198">
        <v>5.4531905099999998</v>
      </c>
      <c r="BS37" s="198">
        <v>5.5289212799999996</v>
      </c>
      <c r="BT37" s="198">
        <v>5.6046520500000003</v>
      </c>
      <c r="BU37" s="198">
        <v>5.6803828200000002</v>
      </c>
      <c r="BV37" s="198">
        <v>5.8871750174999997</v>
      </c>
      <c r="BW37" s="198">
        <v>6.0939672150000002</v>
      </c>
      <c r="BX37" s="198">
        <v>6.3007594124999997</v>
      </c>
      <c r="BY37" s="198">
        <v>6.5075516100000002</v>
      </c>
      <c r="BZ37" s="198">
        <v>6.6210436574999996</v>
      </c>
      <c r="CA37" s="198">
        <v>6.7345357049999999</v>
      </c>
      <c r="CB37" s="198">
        <v>6.8480277525000002</v>
      </c>
      <c r="CC37" s="198">
        <v>6.9615197999999996</v>
      </c>
      <c r="CD37" s="198">
        <v>7.7125810499999998</v>
      </c>
      <c r="CE37" s="198">
        <v>8.4636423000000001</v>
      </c>
      <c r="CF37" s="198">
        <v>9.2147035499999994</v>
      </c>
      <c r="CG37" s="198">
        <v>9.9657648000000094</v>
      </c>
      <c r="CH37" s="198">
        <v>10.539496274999999</v>
      </c>
      <c r="CI37" s="198">
        <v>11.11322775</v>
      </c>
      <c r="CJ37" s="198">
        <v>11.686959225000001</v>
      </c>
      <c r="CK37" s="198">
        <v>12.2606907</v>
      </c>
      <c r="CL37" s="198">
        <v>12.797637525000001</v>
      </c>
      <c r="CM37" s="198">
        <v>13.33458435</v>
      </c>
      <c r="CN37" s="198">
        <v>13.871531174999999</v>
      </c>
      <c r="CO37" s="198">
        <v>14.408478000000001</v>
      </c>
      <c r="CP37" s="198">
        <v>15.09687645</v>
      </c>
      <c r="CQ37" s="198">
        <v>15.785274899999999</v>
      </c>
      <c r="CR37" s="198">
        <v>16.473673349999999</v>
      </c>
      <c r="CS37" s="198">
        <v>17.1620718</v>
      </c>
      <c r="CT37" s="198">
        <v>18.329860499999999</v>
      </c>
      <c r="CU37" s="198">
        <v>19.497649200000001</v>
      </c>
      <c r="CV37" s="198">
        <v>20.665437900000001</v>
      </c>
      <c r="CW37" s="198">
        <v>21.8332266</v>
      </c>
    </row>
    <row r="38" spans="1:103">
      <c r="A38" t="s">
        <v>211</v>
      </c>
      <c r="B38" s="198">
        <v>50.116656450000001</v>
      </c>
      <c r="C38" s="198">
        <v>51.358311899999997</v>
      </c>
      <c r="D38" s="198">
        <v>52.59996735</v>
      </c>
      <c r="E38" s="198">
        <v>53.841622800000003</v>
      </c>
      <c r="F38" s="198">
        <v>54.571565100000001</v>
      </c>
      <c r="G38" s="198">
        <v>55.301507399999998</v>
      </c>
      <c r="H38" s="198">
        <v>56.031449700000003</v>
      </c>
      <c r="I38" s="198">
        <v>56.761392000000001</v>
      </c>
      <c r="J38" s="198">
        <v>57.042234375</v>
      </c>
      <c r="K38" s="198">
        <v>57.323076749999998</v>
      </c>
      <c r="L38" s="198">
        <v>57.603919124999997</v>
      </c>
      <c r="M38" s="198">
        <v>57.884761500000003</v>
      </c>
      <c r="N38" s="198">
        <v>59.591380874999999</v>
      </c>
      <c r="O38" s="198">
        <v>61.298000250000001</v>
      </c>
      <c r="P38" s="198">
        <v>63.004619624999997</v>
      </c>
      <c r="Q38" s="198">
        <v>64.711239000000006</v>
      </c>
      <c r="R38" s="198">
        <v>64.867796850000005</v>
      </c>
      <c r="S38" s="198">
        <v>65.024354700000004</v>
      </c>
      <c r="T38" s="198">
        <v>65.180912550000002</v>
      </c>
      <c r="U38" s="198">
        <v>65.337470400000001</v>
      </c>
      <c r="V38" s="198">
        <v>65.965436925000006</v>
      </c>
      <c r="W38" s="198">
        <v>66.593403449999997</v>
      </c>
      <c r="X38" s="198">
        <v>67.221369975000002</v>
      </c>
      <c r="Y38" s="198">
        <v>67.849336500000007</v>
      </c>
      <c r="Z38" s="198">
        <v>68.850602774999999</v>
      </c>
      <c r="AA38" s="198">
        <v>69.851869050000005</v>
      </c>
      <c r="AB38" s="198">
        <v>70.853135324999997</v>
      </c>
      <c r="AC38" s="198">
        <v>71.854401600000003</v>
      </c>
      <c r="AD38" s="198">
        <v>72.53764425</v>
      </c>
      <c r="AE38" s="198">
        <v>73.220886899999996</v>
      </c>
      <c r="AF38" s="198">
        <v>73.904129549999993</v>
      </c>
      <c r="AG38" s="198">
        <v>74.587372200000004</v>
      </c>
      <c r="AH38" s="198">
        <v>75.465642900000006</v>
      </c>
      <c r="AI38" s="198">
        <v>76.343913599999993</v>
      </c>
      <c r="AJ38" s="198">
        <v>77.222184299999995</v>
      </c>
      <c r="AK38" s="198">
        <v>78.100454999999997</v>
      </c>
      <c r="AL38" s="198">
        <v>79.355495700000006</v>
      </c>
      <c r="AM38" s="198">
        <v>80.610536400000001</v>
      </c>
      <c r="AN38" s="198">
        <v>81.865577099999996</v>
      </c>
      <c r="AO38" s="198">
        <v>83.120617800000005</v>
      </c>
      <c r="AP38" s="198">
        <v>85.173766424999997</v>
      </c>
      <c r="AQ38" s="198">
        <v>87.226915050000002</v>
      </c>
      <c r="AR38" s="198">
        <v>89.280063674999994</v>
      </c>
      <c r="AS38" s="198">
        <v>91.3332123</v>
      </c>
      <c r="AT38" s="198">
        <v>92.051107875</v>
      </c>
      <c r="AU38" s="198">
        <v>92.76900345</v>
      </c>
      <c r="AV38" s="198">
        <v>93.486899025</v>
      </c>
      <c r="AW38" s="198">
        <v>94.2047946</v>
      </c>
      <c r="AX38" s="198">
        <v>94.278958799999998</v>
      </c>
      <c r="AY38" s="198">
        <v>94.353122999999997</v>
      </c>
      <c r="AZ38" s="198">
        <v>94.427287199999995</v>
      </c>
      <c r="BA38" s="198">
        <v>94.501451399999993</v>
      </c>
      <c r="BB38" s="198">
        <v>95.718071475000002</v>
      </c>
      <c r="BC38" s="198">
        <v>96.934691549999997</v>
      </c>
      <c r="BD38" s="198">
        <v>98.151311625000005</v>
      </c>
      <c r="BE38" s="198">
        <v>99.3679317</v>
      </c>
      <c r="BF38" s="198">
        <v>99.538172250000002</v>
      </c>
      <c r="BG38" s="198">
        <v>99.708412800000005</v>
      </c>
      <c r="BH38" s="198">
        <v>99.878653349999993</v>
      </c>
      <c r="BI38" s="198">
        <v>100.0488939</v>
      </c>
      <c r="BJ38" s="198">
        <v>101.0760879</v>
      </c>
      <c r="BK38" s="198">
        <v>102.1032819</v>
      </c>
      <c r="BL38" s="198">
        <v>103.13047589999999</v>
      </c>
      <c r="BM38" s="198">
        <v>104.1576699</v>
      </c>
      <c r="BN38" s="198">
        <v>104.26723065</v>
      </c>
      <c r="BO38" s="198">
        <v>104.3767914</v>
      </c>
      <c r="BP38" s="198">
        <v>104.48635215</v>
      </c>
      <c r="BQ38" s="198">
        <v>104.5959129</v>
      </c>
      <c r="BR38" s="198">
        <v>104.689758375</v>
      </c>
      <c r="BS38" s="198">
        <v>104.78360385000001</v>
      </c>
      <c r="BT38" s="198">
        <v>104.877449325</v>
      </c>
      <c r="BU38" s="198">
        <v>104.9712948</v>
      </c>
      <c r="BV38" s="198">
        <v>109.394425875</v>
      </c>
      <c r="BW38" s="198">
        <v>113.81755695</v>
      </c>
      <c r="BX38" s="198">
        <v>118.240688025</v>
      </c>
      <c r="BY38" s="198">
        <v>122.6638191</v>
      </c>
      <c r="BZ38" s="198">
        <v>122.915412225</v>
      </c>
      <c r="CA38" s="198">
        <v>123.16700535</v>
      </c>
      <c r="CB38" s="198">
        <v>123.418598475</v>
      </c>
      <c r="CC38" s="198">
        <v>123.6701916</v>
      </c>
      <c r="CD38" s="198">
        <v>124.085084775</v>
      </c>
      <c r="CE38" s="198">
        <v>124.49997795</v>
      </c>
      <c r="CF38" s="198">
        <v>124.914871125</v>
      </c>
      <c r="CG38" s="198">
        <v>125.32976429999999</v>
      </c>
      <c r="CH38" s="198">
        <v>127.236071775</v>
      </c>
      <c r="CI38" s="198">
        <v>129.14237925</v>
      </c>
      <c r="CJ38" s="198">
        <v>131.04868672500001</v>
      </c>
      <c r="CK38" s="198">
        <v>132.95499419999999</v>
      </c>
      <c r="CL38" s="198">
        <v>138.05358465</v>
      </c>
      <c r="CM38" s="198">
        <v>143.15217509999999</v>
      </c>
      <c r="CN38" s="198">
        <v>148.25076555000001</v>
      </c>
      <c r="CO38" s="198">
        <v>153.349356</v>
      </c>
      <c r="CP38" s="198">
        <v>160.73513865000001</v>
      </c>
      <c r="CQ38" s="198">
        <v>168.12092129999999</v>
      </c>
      <c r="CR38" s="198">
        <v>175.50670395</v>
      </c>
      <c r="CS38" s="198">
        <v>182.89248660000001</v>
      </c>
      <c r="CT38" s="198">
        <v>185.7811227</v>
      </c>
      <c r="CU38" s="198">
        <v>188.66975880000001</v>
      </c>
      <c r="CV38" s="198">
        <v>191.5583949</v>
      </c>
      <c r="CW38" s="198">
        <v>194.44703100000001</v>
      </c>
    </row>
    <row r="39" spans="1:103">
      <c r="A39" t="s">
        <v>212</v>
      </c>
      <c r="B39" s="198">
        <v>62.846574525000001</v>
      </c>
      <c r="C39" s="198">
        <v>63.749979750000001</v>
      </c>
      <c r="D39" s="198">
        <v>64.653384974999994</v>
      </c>
      <c r="E39" s="198">
        <v>65.556790199999995</v>
      </c>
      <c r="F39" s="198">
        <v>66.126357374999998</v>
      </c>
      <c r="G39" s="198">
        <v>66.695924550000001</v>
      </c>
      <c r="H39" s="198">
        <v>67.265491725000004</v>
      </c>
      <c r="I39" s="198">
        <v>67.835058900000007</v>
      </c>
      <c r="J39" s="198">
        <v>69.169964925000002</v>
      </c>
      <c r="K39" s="198">
        <v>70.504870949999997</v>
      </c>
      <c r="L39" s="198">
        <v>71.839776975000007</v>
      </c>
      <c r="M39" s="198">
        <v>73.174683000000002</v>
      </c>
      <c r="N39" s="198">
        <v>73.217267925000002</v>
      </c>
      <c r="O39" s="198">
        <v>73.259852850000001</v>
      </c>
      <c r="P39" s="198">
        <v>73.302437775000001</v>
      </c>
      <c r="Q39" s="198">
        <v>73.345022700000001</v>
      </c>
      <c r="R39" s="198">
        <v>74.997902775</v>
      </c>
      <c r="S39" s="198">
        <v>76.650782849999999</v>
      </c>
      <c r="T39" s="198">
        <v>78.303662924999998</v>
      </c>
      <c r="U39" s="198">
        <v>79.956542999999996</v>
      </c>
      <c r="V39" s="198">
        <v>80.481096074999996</v>
      </c>
      <c r="W39" s="198">
        <v>81.005649149999996</v>
      </c>
      <c r="X39" s="198">
        <v>81.530202224999996</v>
      </c>
      <c r="Y39" s="198">
        <v>82.054755299999997</v>
      </c>
      <c r="Z39" s="198">
        <v>82.822820774999997</v>
      </c>
      <c r="AA39" s="198">
        <v>83.590886249999997</v>
      </c>
      <c r="AB39" s="198">
        <v>84.358951724999997</v>
      </c>
      <c r="AC39" s="198">
        <v>85.127017199999997</v>
      </c>
      <c r="AD39" s="198">
        <v>85.631541975000005</v>
      </c>
      <c r="AE39" s="198">
        <v>86.136066749999998</v>
      </c>
      <c r="AF39" s="198">
        <v>86.640591525000005</v>
      </c>
      <c r="AG39" s="198">
        <v>87.145116299999998</v>
      </c>
      <c r="AH39" s="198">
        <v>87.977827575000006</v>
      </c>
      <c r="AI39" s="198">
        <v>88.81053885</v>
      </c>
      <c r="AJ39" s="198">
        <v>89.643250124999994</v>
      </c>
      <c r="AK39" s="198">
        <v>90.475961400000003</v>
      </c>
      <c r="AL39" s="198">
        <v>90.554983949999993</v>
      </c>
      <c r="AM39" s="198">
        <v>90.634006499999998</v>
      </c>
      <c r="AN39" s="198">
        <v>90.713029050000003</v>
      </c>
      <c r="AO39" s="198">
        <v>90.792051599999994</v>
      </c>
      <c r="AP39" s="198">
        <v>93.284930474999996</v>
      </c>
      <c r="AQ39" s="198">
        <v>95.777809349999998</v>
      </c>
      <c r="AR39" s="198">
        <v>98.270688225000001</v>
      </c>
      <c r="AS39" s="198">
        <v>100.7635671</v>
      </c>
      <c r="AT39" s="198">
        <v>101.648232975</v>
      </c>
      <c r="AU39" s="198">
        <v>102.53289885</v>
      </c>
      <c r="AV39" s="198">
        <v>103.41756472500001</v>
      </c>
      <c r="AW39" s="198">
        <v>104.3022306</v>
      </c>
      <c r="AX39" s="198">
        <v>106.563693375</v>
      </c>
      <c r="AY39" s="198">
        <v>108.82515615</v>
      </c>
      <c r="AZ39" s="198">
        <v>111.086618925</v>
      </c>
      <c r="BA39" s="198">
        <v>113.34808169999999</v>
      </c>
      <c r="BB39" s="198">
        <v>113.8878543</v>
      </c>
      <c r="BC39" s="198">
        <v>114.42762690000001</v>
      </c>
      <c r="BD39" s="198">
        <v>114.9673995</v>
      </c>
      <c r="BE39" s="198">
        <v>115.50717210000001</v>
      </c>
      <c r="BF39" s="198">
        <v>117.00760905</v>
      </c>
      <c r="BG39" s="198">
        <v>118.50804599999999</v>
      </c>
      <c r="BH39" s="198">
        <v>120.00848295</v>
      </c>
      <c r="BI39" s="198">
        <v>121.5089199</v>
      </c>
      <c r="BJ39" s="198">
        <v>121.88499585</v>
      </c>
      <c r="BK39" s="198">
        <v>122.2610718</v>
      </c>
      <c r="BL39" s="198">
        <v>122.63714775</v>
      </c>
      <c r="BM39" s="198">
        <v>123.0132237</v>
      </c>
      <c r="BN39" s="198">
        <v>123.12967537500001</v>
      </c>
      <c r="BO39" s="198">
        <v>123.24612705</v>
      </c>
      <c r="BP39" s="198">
        <v>123.36257872500001</v>
      </c>
      <c r="BQ39" s="198">
        <v>123.4790304</v>
      </c>
      <c r="BR39" s="198">
        <v>125.3273847</v>
      </c>
      <c r="BS39" s="198">
        <v>127.17573899999999</v>
      </c>
      <c r="BT39" s="198">
        <v>129.0240933</v>
      </c>
      <c r="BU39" s="198">
        <v>130.87244759999999</v>
      </c>
      <c r="BV39" s="198">
        <v>132.51233902499999</v>
      </c>
      <c r="BW39" s="198">
        <v>134.15223044999999</v>
      </c>
      <c r="BX39" s="198">
        <v>135.79212187499999</v>
      </c>
      <c r="BY39" s="198">
        <v>137.43201329999999</v>
      </c>
      <c r="BZ39" s="198">
        <v>139.857668475</v>
      </c>
      <c r="CA39" s="198">
        <v>142.28332365</v>
      </c>
      <c r="CB39" s="198">
        <v>144.708978825</v>
      </c>
      <c r="CC39" s="198">
        <v>147.13463400000001</v>
      </c>
      <c r="CD39" s="198">
        <v>147.36966907499999</v>
      </c>
      <c r="CE39" s="198">
        <v>147.60470415</v>
      </c>
      <c r="CF39" s="198">
        <v>147.83973922499999</v>
      </c>
      <c r="CG39" s="198">
        <v>148.0747743</v>
      </c>
      <c r="CH39" s="198">
        <v>151.48989689999999</v>
      </c>
      <c r="CI39" s="198">
        <v>154.90501950000001</v>
      </c>
      <c r="CJ39" s="198">
        <v>158.3201421</v>
      </c>
      <c r="CK39" s="198">
        <v>161.73526469999999</v>
      </c>
      <c r="CL39" s="198">
        <v>164.96938897499999</v>
      </c>
      <c r="CM39" s="198">
        <v>168.20351324999999</v>
      </c>
      <c r="CN39" s="198">
        <v>171.43763752500001</v>
      </c>
      <c r="CO39" s="198">
        <v>174.67176180000001</v>
      </c>
      <c r="CP39" s="198">
        <v>175.70049262500001</v>
      </c>
      <c r="CQ39" s="198">
        <v>176.72922345000001</v>
      </c>
      <c r="CR39" s="198">
        <v>177.757954275</v>
      </c>
      <c r="CS39" s="198">
        <v>178.7866851</v>
      </c>
      <c r="CT39" s="198">
        <v>195.41651970000001</v>
      </c>
      <c r="CU39" s="198">
        <v>212.04635429999999</v>
      </c>
      <c r="CV39" s="198">
        <v>228.6761889</v>
      </c>
      <c r="CW39" s="198">
        <v>245.30602350000001</v>
      </c>
    </row>
    <row r="40" spans="1:103">
      <c r="A40" t="s">
        <v>213</v>
      </c>
      <c r="B40" s="197">
        <v>43.650143024999998</v>
      </c>
      <c r="C40" s="198">
        <v>44.774256149999999</v>
      </c>
      <c r="D40" s="198">
        <v>45.898369275</v>
      </c>
      <c r="E40" s="198">
        <v>47.022482400000001</v>
      </c>
      <c r="F40" s="198">
        <v>47.251122299999999</v>
      </c>
      <c r="G40" s="198">
        <v>47.479762200000003</v>
      </c>
      <c r="H40" s="198">
        <v>47.708402100000001</v>
      </c>
      <c r="I40" s="198">
        <v>47.937041999999998</v>
      </c>
      <c r="J40" s="198">
        <v>49.269568425000003</v>
      </c>
      <c r="K40" s="198">
        <v>50.60209485</v>
      </c>
      <c r="L40" s="198">
        <v>51.934621274999998</v>
      </c>
      <c r="M40" s="198">
        <v>53.267147700000002</v>
      </c>
      <c r="N40" s="198">
        <v>54.083945399999998</v>
      </c>
      <c r="O40" s="198">
        <v>54.9007431</v>
      </c>
      <c r="P40" s="198">
        <v>55.717540800000002</v>
      </c>
      <c r="Q40" s="198">
        <v>56.534338499999997</v>
      </c>
      <c r="R40" s="198">
        <v>56.757872175000003</v>
      </c>
      <c r="S40" s="198">
        <v>56.981405850000002</v>
      </c>
      <c r="T40" s="198">
        <v>57.204939525</v>
      </c>
      <c r="U40" s="198">
        <v>57.428473199999999</v>
      </c>
      <c r="V40" s="198">
        <v>62.205470624999997</v>
      </c>
      <c r="W40" s="198">
        <v>66.982468049999994</v>
      </c>
      <c r="X40" s="198">
        <v>71.759465474999999</v>
      </c>
      <c r="Y40" s="198">
        <v>76.536462900000004</v>
      </c>
      <c r="Z40" s="198">
        <v>77.141971949999999</v>
      </c>
      <c r="AA40" s="198">
        <v>77.747480999999993</v>
      </c>
      <c r="AB40" s="198">
        <v>78.352990050000002</v>
      </c>
      <c r="AC40" s="198">
        <v>78.958499099999997</v>
      </c>
      <c r="AD40" s="198">
        <v>79.480870874999994</v>
      </c>
      <c r="AE40" s="198">
        <v>80.003242650000004</v>
      </c>
      <c r="AF40" s="198">
        <v>80.525614425000001</v>
      </c>
      <c r="AG40" s="198">
        <v>81.047986199999997</v>
      </c>
      <c r="AH40" s="198">
        <v>86.940768149999997</v>
      </c>
      <c r="AI40" s="198">
        <v>92.833550099999997</v>
      </c>
      <c r="AJ40" s="198">
        <v>98.726332049999996</v>
      </c>
      <c r="AK40" s="198">
        <v>104.619114</v>
      </c>
      <c r="AL40" s="198">
        <v>107.0139831</v>
      </c>
      <c r="AM40" s="198">
        <v>109.4088522</v>
      </c>
      <c r="AN40" s="198">
        <v>111.80372130000001</v>
      </c>
      <c r="AO40" s="198">
        <v>114.1985904</v>
      </c>
      <c r="AP40" s="198">
        <v>117.522048825</v>
      </c>
      <c r="AQ40" s="198">
        <v>120.84550725</v>
      </c>
      <c r="AR40" s="198">
        <v>124.168965675</v>
      </c>
      <c r="AS40" s="198">
        <v>127.49242409999999</v>
      </c>
      <c r="AT40" s="198">
        <v>131.39124997499999</v>
      </c>
      <c r="AU40" s="198">
        <v>135.29007584999999</v>
      </c>
      <c r="AV40" s="198">
        <v>139.18890172499999</v>
      </c>
      <c r="AW40" s="198">
        <v>143.08772759999999</v>
      </c>
      <c r="AX40" s="198">
        <v>144.50795220000001</v>
      </c>
      <c r="AY40" s="198">
        <v>145.92817679999999</v>
      </c>
      <c r="AZ40" s="198">
        <v>147.3484014</v>
      </c>
      <c r="BA40" s="198">
        <v>148.76862600000001</v>
      </c>
      <c r="BB40" s="198">
        <v>151.15873590000001</v>
      </c>
      <c r="BC40" s="198">
        <v>153.54884580000001</v>
      </c>
      <c r="BD40" s="198">
        <v>155.93895570000001</v>
      </c>
      <c r="BE40" s="198">
        <v>158.32906560000001</v>
      </c>
      <c r="BF40" s="198">
        <v>158.84261302499999</v>
      </c>
      <c r="BG40" s="198">
        <v>159.35616045</v>
      </c>
      <c r="BH40" s="198">
        <v>159.86970787499999</v>
      </c>
      <c r="BI40" s="198">
        <v>160.3832553</v>
      </c>
      <c r="BJ40" s="198">
        <v>162.744462975</v>
      </c>
      <c r="BK40" s="198">
        <v>165.10567065000001</v>
      </c>
      <c r="BL40" s="198">
        <v>167.46687832500001</v>
      </c>
      <c r="BM40" s="198">
        <v>169.82808600000001</v>
      </c>
      <c r="BN40" s="198">
        <v>172.73129714999999</v>
      </c>
      <c r="BO40" s="198">
        <v>175.63450829999999</v>
      </c>
      <c r="BP40" s="198">
        <v>178.53771945</v>
      </c>
      <c r="BQ40" s="198">
        <v>181.4409306</v>
      </c>
      <c r="BR40" s="198">
        <v>181.98060405000001</v>
      </c>
      <c r="BS40" s="198">
        <v>182.52027749999999</v>
      </c>
      <c r="BT40" s="198">
        <v>183.05995095</v>
      </c>
      <c r="BU40" s="198">
        <v>183.59962440000001</v>
      </c>
      <c r="BV40" s="198">
        <v>192.904405725</v>
      </c>
      <c r="BW40" s="198">
        <v>202.20918705</v>
      </c>
      <c r="BX40" s="198">
        <v>211.51396837499999</v>
      </c>
      <c r="BY40" s="198">
        <v>220.81874970000001</v>
      </c>
      <c r="BZ40" s="198">
        <v>225.42877852500001</v>
      </c>
      <c r="CA40" s="198">
        <v>230.03880735000001</v>
      </c>
      <c r="CB40" s="198">
        <v>234.64883617500001</v>
      </c>
      <c r="CC40" s="198">
        <v>239.25886499999999</v>
      </c>
      <c r="CD40" s="198">
        <v>240.90624224999999</v>
      </c>
      <c r="CE40" s="198">
        <v>242.5536195</v>
      </c>
      <c r="CF40" s="198">
        <v>244.20099675</v>
      </c>
      <c r="CG40" s="198">
        <v>245.84837400000001</v>
      </c>
      <c r="CH40" s="198">
        <v>274.76943749999998</v>
      </c>
      <c r="CI40" s="198">
        <v>303.69050099999998</v>
      </c>
      <c r="CJ40" s="198">
        <v>332.61156449999999</v>
      </c>
      <c r="CK40" s="198">
        <v>361.53262799999999</v>
      </c>
      <c r="CL40" s="198">
        <v>371.77631024999999</v>
      </c>
      <c r="CM40" s="198">
        <v>382.0199925</v>
      </c>
      <c r="CN40" s="198">
        <v>392.26367475000001</v>
      </c>
      <c r="CO40" s="198">
        <v>402.50735700000001</v>
      </c>
      <c r="CP40" s="198">
        <v>414.87433650000003</v>
      </c>
      <c r="CQ40" s="198">
        <v>427.24131599999998</v>
      </c>
      <c r="CR40" s="198">
        <v>439.6082955</v>
      </c>
      <c r="CS40" s="198">
        <v>451.97527500000098</v>
      </c>
      <c r="CT40" s="198">
        <v>505.86577875</v>
      </c>
      <c r="CU40" s="198">
        <v>559.7562825</v>
      </c>
      <c r="CV40" s="198">
        <v>613.64678624999999</v>
      </c>
      <c r="CW40" s="198">
        <v>667.53728999999998</v>
      </c>
    </row>
    <row r="41" spans="1:103" ht="16.5" thickBot="1">
      <c r="A41" s="185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Y41" s="192"/>
    </row>
    <row r="42" spans="1:103">
      <c r="A42" s="188" t="s">
        <v>200</v>
      </c>
      <c r="B42" s="189">
        <v>1</v>
      </c>
      <c r="C42" s="189">
        <v>2</v>
      </c>
      <c r="D42" s="189">
        <v>3</v>
      </c>
      <c r="E42" s="189">
        <v>4</v>
      </c>
      <c r="F42" s="189">
        <v>5</v>
      </c>
      <c r="G42" s="189">
        <v>6</v>
      </c>
      <c r="H42" s="189">
        <v>7</v>
      </c>
      <c r="I42" s="189">
        <v>8</v>
      </c>
      <c r="J42" s="189">
        <v>9</v>
      </c>
      <c r="K42" s="189">
        <v>10</v>
      </c>
      <c r="L42" s="189">
        <v>11</v>
      </c>
      <c r="M42" s="189">
        <v>12</v>
      </c>
      <c r="N42" s="189">
        <v>13</v>
      </c>
      <c r="O42" s="189">
        <v>14</v>
      </c>
      <c r="P42" s="189">
        <v>15</v>
      </c>
      <c r="Q42" s="189">
        <v>16</v>
      </c>
      <c r="R42" s="189">
        <v>17</v>
      </c>
      <c r="S42" s="189">
        <v>18</v>
      </c>
      <c r="T42" s="189">
        <v>19</v>
      </c>
      <c r="U42" s="189">
        <v>20</v>
      </c>
      <c r="V42" s="189">
        <v>21</v>
      </c>
      <c r="W42" s="189">
        <v>22</v>
      </c>
      <c r="X42" s="189">
        <v>23</v>
      </c>
      <c r="Y42" s="189">
        <v>24</v>
      </c>
      <c r="Z42" s="189">
        <v>25</v>
      </c>
      <c r="AA42" s="189">
        <v>26</v>
      </c>
      <c r="AB42" s="189">
        <v>27</v>
      </c>
      <c r="AC42" s="189">
        <v>28</v>
      </c>
      <c r="AD42" s="189">
        <v>29</v>
      </c>
      <c r="AE42" s="189">
        <v>30</v>
      </c>
      <c r="AF42" s="189">
        <v>31</v>
      </c>
      <c r="AG42" s="189">
        <v>32</v>
      </c>
      <c r="AH42" s="189">
        <v>33</v>
      </c>
      <c r="AI42" s="189">
        <v>34</v>
      </c>
      <c r="AJ42" s="189">
        <v>35</v>
      </c>
      <c r="AK42" s="189">
        <v>36</v>
      </c>
      <c r="AL42" s="189">
        <v>37</v>
      </c>
      <c r="AM42" s="189">
        <v>38</v>
      </c>
      <c r="AN42" s="189">
        <v>39</v>
      </c>
      <c r="AO42" s="189">
        <v>40</v>
      </c>
      <c r="AP42" s="189">
        <v>41</v>
      </c>
      <c r="AQ42" s="189">
        <v>42</v>
      </c>
      <c r="AR42" s="189">
        <v>43</v>
      </c>
      <c r="AS42" s="189">
        <v>44</v>
      </c>
      <c r="AT42" s="189">
        <v>45</v>
      </c>
      <c r="AU42" s="189">
        <v>46</v>
      </c>
      <c r="AV42" s="189">
        <v>47</v>
      </c>
      <c r="AW42" s="189">
        <v>48</v>
      </c>
      <c r="AX42" s="189">
        <v>49</v>
      </c>
      <c r="AY42" s="189">
        <v>50</v>
      </c>
      <c r="AZ42" s="189">
        <v>51</v>
      </c>
      <c r="BA42" s="189">
        <v>52</v>
      </c>
      <c r="BB42" s="189">
        <v>53</v>
      </c>
      <c r="BC42" s="189">
        <v>54</v>
      </c>
      <c r="BD42" s="189">
        <v>55</v>
      </c>
      <c r="BE42" s="189">
        <v>56</v>
      </c>
      <c r="BF42" s="189">
        <v>57</v>
      </c>
      <c r="BG42" s="189">
        <v>58</v>
      </c>
      <c r="BH42" s="189">
        <v>59</v>
      </c>
      <c r="BI42" s="189">
        <v>60</v>
      </c>
      <c r="BJ42" s="189">
        <v>61</v>
      </c>
      <c r="BK42" s="189">
        <v>62</v>
      </c>
      <c r="BL42" s="189">
        <v>63</v>
      </c>
      <c r="BM42" s="189">
        <v>64</v>
      </c>
      <c r="BN42" s="189">
        <v>65</v>
      </c>
      <c r="BO42" s="189">
        <v>66</v>
      </c>
      <c r="BP42" s="189">
        <v>67</v>
      </c>
      <c r="BQ42" s="189">
        <v>68</v>
      </c>
      <c r="BR42" s="189">
        <v>69</v>
      </c>
      <c r="BS42" s="189">
        <v>70</v>
      </c>
      <c r="BT42" s="189">
        <v>71</v>
      </c>
      <c r="BU42" s="189">
        <v>72</v>
      </c>
      <c r="BV42" s="189">
        <v>73</v>
      </c>
      <c r="BW42" s="189">
        <v>74</v>
      </c>
      <c r="BX42" s="189">
        <v>75</v>
      </c>
      <c r="BY42" s="189">
        <v>76</v>
      </c>
      <c r="BZ42" s="189">
        <v>77</v>
      </c>
      <c r="CA42" s="189">
        <v>78</v>
      </c>
      <c r="CB42" s="189">
        <v>79</v>
      </c>
      <c r="CC42" s="189">
        <v>80</v>
      </c>
      <c r="CD42" s="189">
        <v>81</v>
      </c>
      <c r="CE42" s="189">
        <v>82</v>
      </c>
      <c r="CF42" s="189">
        <v>83</v>
      </c>
      <c r="CG42" s="189">
        <v>84</v>
      </c>
      <c r="CH42" s="189">
        <v>85</v>
      </c>
      <c r="CI42" s="189">
        <v>86</v>
      </c>
      <c r="CJ42" s="189">
        <v>87</v>
      </c>
      <c r="CK42" s="189">
        <v>88</v>
      </c>
      <c r="CL42" s="189">
        <v>89</v>
      </c>
      <c r="CM42" s="189">
        <v>90</v>
      </c>
      <c r="CN42" s="189">
        <v>91</v>
      </c>
      <c r="CO42" s="189">
        <v>92</v>
      </c>
      <c r="CP42" s="189">
        <v>93</v>
      </c>
      <c r="CQ42" s="189">
        <v>94</v>
      </c>
      <c r="CR42" s="189">
        <v>95</v>
      </c>
      <c r="CS42" s="189">
        <v>96</v>
      </c>
      <c r="CT42" s="189">
        <v>97</v>
      </c>
      <c r="CU42" s="189">
        <v>98</v>
      </c>
      <c r="CV42" s="189">
        <v>99</v>
      </c>
      <c r="CW42" s="190">
        <v>100</v>
      </c>
      <c r="CX42" s="192"/>
      <c r="CY42" s="192"/>
    </row>
    <row r="43" spans="1:103">
      <c r="A43" t="s">
        <v>203</v>
      </c>
      <c r="B43" s="196">
        <v>2.2769297784</v>
      </c>
      <c r="C43" s="196">
        <v>2.8842727068</v>
      </c>
      <c r="D43" s="196">
        <v>3.4916156352000001</v>
      </c>
      <c r="E43" s="196">
        <v>4.2017731476</v>
      </c>
      <c r="F43" s="196">
        <v>5.4774108720000001</v>
      </c>
      <c r="G43" s="196">
        <v>6.7530485964000002</v>
      </c>
      <c r="H43" s="196">
        <v>8.0286863208000003</v>
      </c>
      <c r="I43" s="196">
        <v>8.9863301652000001</v>
      </c>
      <c r="J43" s="196">
        <v>9.2284877796</v>
      </c>
      <c r="K43" s="196">
        <v>9.4706453939999999</v>
      </c>
      <c r="L43" s="196">
        <v>9.7128030083999999</v>
      </c>
      <c r="M43" s="196">
        <v>9.9045035844000004</v>
      </c>
      <c r="N43" s="196">
        <v>10.0373376156</v>
      </c>
      <c r="O43" s="196">
        <v>10.1701716468</v>
      </c>
      <c r="P43" s="196">
        <v>10.303005678</v>
      </c>
      <c r="Q43" s="196">
        <v>10.5432167796</v>
      </c>
      <c r="R43" s="196">
        <v>10.8505385502</v>
      </c>
      <c r="S43" s="196">
        <v>11.157860320799999</v>
      </c>
      <c r="T43" s="196">
        <v>11.465182091400001</v>
      </c>
      <c r="U43" s="196">
        <v>11.710943609999999</v>
      </c>
      <c r="V43" s="196">
        <v>11.938237053</v>
      </c>
      <c r="W43" s="196">
        <v>12.165530496000001</v>
      </c>
      <c r="X43" s="196">
        <v>12.392823938999999</v>
      </c>
      <c r="Y43" s="196">
        <v>12.4150244172</v>
      </c>
      <c r="Z43" s="196">
        <v>12.420133815</v>
      </c>
      <c r="AA43" s="196">
        <v>12.4252432128</v>
      </c>
      <c r="AB43" s="196">
        <v>12.436935774</v>
      </c>
      <c r="AC43" s="196">
        <v>12.527626295999999</v>
      </c>
      <c r="AD43" s="196">
        <v>12.618316818</v>
      </c>
      <c r="AE43" s="196">
        <v>12.709007339999999</v>
      </c>
      <c r="AF43" s="196">
        <v>12.826057881000001</v>
      </c>
      <c r="AG43" s="196">
        <v>13.030975152</v>
      </c>
      <c r="AH43" s="196">
        <v>13.235892422999999</v>
      </c>
      <c r="AI43" s="196">
        <v>13.440809694</v>
      </c>
      <c r="AJ43" s="196">
        <v>13.659536577000001</v>
      </c>
      <c r="AK43" s="196">
        <v>13.900358839200001</v>
      </c>
      <c r="AL43" s="196">
        <v>14.141181101400001</v>
      </c>
      <c r="AM43" s="196">
        <v>14.382003363600001</v>
      </c>
      <c r="AN43" s="196">
        <v>14.5062890784</v>
      </c>
      <c r="AO43" s="196">
        <v>14.530686323999999</v>
      </c>
      <c r="AP43" s="196">
        <v>14.555083569600001</v>
      </c>
      <c r="AQ43" s="196">
        <v>14.5794808152</v>
      </c>
      <c r="AR43" s="196">
        <v>14.757016029000001</v>
      </c>
      <c r="AS43" s="196">
        <v>15.002612561999999</v>
      </c>
      <c r="AT43" s="196">
        <v>15.248209095</v>
      </c>
      <c r="AU43" s="196">
        <v>15.493805628</v>
      </c>
      <c r="AV43" s="196">
        <v>15.920310457799999</v>
      </c>
      <c r="AW43" s="196">
        <v>16.379707705200001</v>
      </c>
      <c r="AX43" s="196">
        <v>16.8391049526</v>
      </c>
      <c r="AY43" s="196">
        <v>17.298502200000001</v>
      </c>
      <c r="AZ43" s="196">
        <v>17.355164442</v>
      </c>
      <c r="BA43" s="196">
        <v>17.411826684000001</v>
      </c>
      <c r="BB43" s="196">
        <v>17.468488925999999</v>
      </c>
      <c r="BC43" s="196">
        <v>17.539888823999998</v>
      </c>
      <c r="BD43" s="196">
        <v>17.692345830000001</v>
      </c>
      <c r="BE43" s="196">
        <v>17.844802836</v>
      </c>
      <c r="BF43" s="196">
        <v>17.997259841999998</v>
      </c>
      <c r="BG43" s="196">
        <v>18.382076856000001</v>
      </c>
      <c r="BH43" s="196">
        <v>19.289703887999998</v>
      </c>
      <c r="BI43" s="196">
        <v>20.197330919999999</v>
      </c>
      <c r="BJ43" s="196">
        <v>21.104957951999999</v>
      </c>
      <c r="BK43" s="196">
        <v>21.7595430792</v>
      </c>
      <c r="BL43" s="196">
        <v>22.118912650799999</v>
      </c>
      <c r="BM43" s="196">
        <v>22.478282222400001</v>
      </c>
      <c r="BN43" s="196">
        <v>22.837651793999999</v>
      </c>
      <c r="BO43" s="196">
        <v>23.171902308</v>
      </c>
      <c r="BP43" s="196">
        <v>23.490453411000001</v>
      </c>
      <c r="BQ43" s="196">
        <v>23.809004514000002</v>
      </c>
      <c r="BR43" s="196">
        <v>24.127555616999999</v>
      </c>
      <c r="BS43" s="196">
        <v>24.390138528000001</v>
      </c>
      <c r="BT43" s="196">
        <v>24.635930981400001</v>
      </c>
      <c r="BU43" s="196">
        <v>24.881723434800001</v>
      </c>
      <c r="BV43" s="196">
        <v>25.127515888200001</v>
      </c>
      <c r="BW43" s="196">
        <v>26.043008688</v>
      </c>
      <c r="BX43" s="196">
        <v>27.01430985</v>
      </c>
      <c r="BY43" s="196">
        <v>27.985611012</v>
      </c>
      <c r="BZ43" s="196">
        <v>28.908447654</v>
      </c>
      <c r="CA43" s="196">
        <v>29.249710056000001</v>
      </c>
      <c r="CB43" s="196">
        <v>29.590972458</v>
      </c>
      <c r="CC43" s="196">
        <v>29.932234860000001</v>
      </c>
      <c r="CD43" s="196">
        <v>30.236768135999998</v>
      </c>
      <c r="CE43" s="196">
        <v>30.418870991999999</v>
      </c>
      <c r="CF43" s="196">
        <v>30.600973847999999</v>
      </c>
      <c r="CG43" s="196">
        <v>30.783076703999999</v>
      </c>
      <c r="CH43" s="196">
        <v>31.0652814</v>
      </c>
      <c r="CI43" s="196">
        <v>31.50764904</v>
      </c>
      <c r="CJ43" s="196">
        <v>31.950016680000001</v>
      </c>
      <c r="CK43" s="196">
        <v>32.392384319999998</v>
      </c>
      <c r="CL43" s="196">
        <v>32.743470504000001</v>
      </c>
      <c r="CM43" s="196">
        <v>33.01631544</v>
      </c>
      <c r="CN43" s="196">
        <v>33.289160375999998</v>
      </c>
      <c r="CO43" s="196">
        <v>33.562005311999997</v>
      </c>
      <c r="CP43" s="196">
        <v>35.243371181999997</v>
      </c>
      <c r="CQ43" s="196">
        <v>37.550746355999998</v>
      </c>
      <c r="CR43" s="196">
        <v>39.858121529999998</v>
      </c>
      <c r="CS43" s="196">
        <v>42.165496703999999</v>
      </c>
      <c r="CT43" s="196">
        <v>42.913150763399997</v>
      </c>
      <c r="CU43" s="196">
        <v>43.377219165600003</v>
      </c>
      <c r="CV43" s="196">
        <v>43.841287567800002</v>
      </c>
      <c r="CW43" s="196">
        <v>44.305355970000001</v>
      </c>
      <c r="CX43" s="192"/>
      <c r="CY43" s="192"/>
    </row>
    <row r="44" spans="1:103">
      <c r="A44" t="s">
        <v>204</v>
      </c>
      <c r="B44" s="196">
        <v>2.3010930299999999E-2</v>
      </c>
      <c r="C44" s="196">
        <v>4.5010530600000001E-2</v>
      </c>
      <c r="D44" s="196">
        <v>6.7010130900000006E-2</v>
      </c>
      <c r="E44" s="196">
        <v>8.9009731199999997E-2</v>
      </c>
      <c r="F44" s="196">
        <v>0.1110093315</v>
      </c>
      <c r="G44" s="196">
        <v>0.16410514800000001</v>
      </c>
      <c r="H44" s="196">
        <v>0.228306756</v>
      </c>
      <c r="I44" s="196">
        <v>0.29250836400000002</v>
      </c>
      <c r="J44" s="196">
        <v>0.35670997199999999</v>
      </c>
      <c r="K44" s="196">
        <v>0.42091158000000001</v>
      </c>
      <c r="L44" s="196">
        <v>0.46919544870000002</v>
      </c>
      <c r="M44" s="196">
        <v>0.4997929404</v>
      </c>
      <c r="N44" s="196">
        <v>0.53039043210000003</v>
      </c>
      <c r="O44" s="196">
        <v>0.56098792379999995</v>
      </c>
      <c r="P44" s="196">
        <v>0.59158541549999999</v>
      </c>
      <c r="Q44" s="196">
        <v>0.61797736079999999</v>
      </c>
      <c r="R44" s="196">
        <v>0.62859850709999998</v>
      </c>
      <c r="S44" s="196">
        <v>0.63921965339999998</v>
      </c>
      <c r="T44" s="196">
        <v>0.64984079969999997</v>
      </c>
      <c r="U44" s="196">
        <v>0.66046194599999997</v>
      </c>
      <c r="V44" s="196">
        <v>0.67108309229999996</v>
      </c>
      <c r="W44" s="196">
        <v>0.68306418000000002</v>
      </c>
      <c r="X44" s="196">
        <v>0.69512081999999997</v>
      </c>
      <c r="Y44" s="196">
        <v>0.70717746000000004</v>
      </c>
      <c r="Z44" s="196">
        <v>0.71923409999999999</v>
      </c>
      <c r="AA44" s="196">
        <v>0.73129074000000005</v>
      </c>
      <c r="AB44" s="196">
        <v>0.75489637200000004</v>
      </c>
      <c r="AC44" s="196">
        <v>0.78383230800000003</v>
      </c>
      <c r="AD44" s="196">
        <v>0.81276824400000003</v>
      </c>
      <c r="AE44" s="196">
        <v>0.84170418000000002</v>
      </c>
      <c r="AF44" s="196">
        <v>0.87064011600000002</v>
      </c>
      <c r="AG44" s="196">
        <v>0.91324606080000004</v>
      </c>
      <c r="AH44" s="196">
        <v>0.97464826770000001</v>
      </c>
      <c r="AI44" s="196">
        <v>1.0360504746000001</v>
      </c>
      <c r="AJ44" s="196">
        <v>1.0974526815000001</v>
      </c>
      <c r="AK44" s="196">
        <v>1.1588548884000001</v>
      </c>
      <c r="AL44" s="196">
        <v>1.2187615167000001</v>
      </c>
      <c r="AM44" s="196">
        <v>1.2706917257999999</v>
      </c>
      <c r="AN44" s="196">
        <v>1.3226219348999999</v>
      </c>
      <c r="AO44" s="196">
        <v>1.3745521439999999</v>
      </c>
      <c r="AP44" s="196">
        <v>1.4264823530999999</v>
      </c>
      <c r="AQ44" s="196">
        <v>1.4784125621999999</v>
      </c>
      <c r="AR44" s="196">
        <v>1.497599277</v>
      </c>
      <c r="AS44" s="196">
        <v>1.5129338160000001</v>
      </c>
      <c r="AT44" s="196">
        <v>1.528268355</v>
      </c>
      <c r="AU44" s="196">
        <v>1.5436028939999999</v>
      </c>
      <c r="AV44" s="196">
        <v>1.5589374330000001</v>
      </c>
      <c r="AW44" s="196">
        <v>1.571107104</v>
      </c>
      <c r="AX44" s="196">
        <v>1.581430602</v>
      </c>
      <c r="AY44" s="196">
        <v>1.5917540999999999</v>
      </c>
      <c r="AZ44" s="196">
        <v>1.6020775979999999</v>
      </c>
      <c r="BA44" s="196">
        <v>1.6124010959999999</v>
      </c>
      <c r="BB44" s="196">
        <v>1.6219889009999999</v>
      </c>
      <c r="BC44" s="196">
        <v>1.630315518</v>
      </c>
      <c r="BD44" s="196">
        <v>1.638642135</v>
      </c>
      <c r="BE44" s="196">
        <v>1.646968752</v>
      </c>
      <c r="BF44" s="196">
        <v>1.6552953690000001</v>
      </c>
      <c r="BG44" s="196">
        <v>1.6748299019999999</v>
      </c>
      <c r="BH44" s="196">
        <v>1.7896317209999999</v>
      </c>
      <c r="BI44" s="196">
        <v>1.9044335400000001</v>
      </c>
      <c r="BJ44" s="196">
        <v>2.0192353590000001</v>
      </c>
      <c r="BK44" s="196">
        <v>2.1340371779999998</v>
      </c>
      <c r="BL44" s="196">
        <v>2.248838997</v>
      </c>
      <c r="BM44" s="196">
        <v>2.4079553136</v>
      </c>
      <c r="BN44" s="196">
        <v>2.5753805984999998</v>
      </c>
      <c r="BO44" s="196">
        <v>2.7428058834</v>
      </c>
      <c r="BP44" s="196">
        <v>2.9102311683000002</v>
      </c>
      <c r="BQ44" s="196">
        <v>3.0776564531999999</v>
      </c>
      <c r="BR44" s="196">
        <v>3.1628598159000001</v>
      </c>
      <c r="BS44" s="196">
        <v>3.1882654170000002</v>
      </c>
      <c r="BT44" s="196">
        <v>3.2136710180999999</v>
      </c>
      <c r="BU44" s="196">
        <v>3.2390766192</v>
      </c>
      <c r="BV44" s="196">
        <v>3.2644822203000001</v>
      </c>
      <c r="BW44" s="196">
        <v>3.29221626</v>
      </c>
      <c r="BX44" s="196">
        <v>3.3249952500000002</v>
      </c>
      <c r="BY44" s="196">
        <v>3.3577742399999999</v>
      </c>
      <c r="BZ44" s="196">
        <v>3.3905532300000001</v>
      </c>
      <c r="CA44" s="196">
        <v>3.4233322199999998</v>
      </c>
      <c r="CB44" s="196">
        <v>3.49380804000001</v>
      </c>
      <c r="CC44" s="196">
        <v>4.2428268000000102</v>
      </c>
      <c r="CD44" s="196">
        <v>4.9918455599999998</v>
      </c>
      <c r="CE44" s="196">
        <v>5.7408643200000098</v>
      </c>
      <c r="CF44" s="196">
        <v>6.48988308000001</v>
      </c>
      <c r="CG44" s="196">
        <v>7.2389018399999996</v>
      </c>
      <c r="CH44" s="196">
        <v>7.6908870299999998</v>
      </c>
      <c r="CI44" s="196">
        <v>8.0636632680000009</v>
      </c>
      <c r="CJ44" s="196">
        <v>8.4364395059999993</v>
      </c>
      <c r="CK44" s="196">
        <v>8.8092157439999994</v>
      </c>
      <c r="CL44" s="196">
        <v>9.1819919819999996</v>
      </c>
      <c r="CM44" s="196">
        <v>9.4563122699999997</v>
      </c>
      <c r="CN44" s="196">
        <v>9.6420222029999998</v>
      </c>
      <c r="CO44" s="196">
        <v>9.8277321359999998</v>
      </c>
      <c r="CP44" s="196">
        <v>10.013442069</v>
      </c>
      <c r="CQ44" s="196">
        <v>10.199152002</v>
      </c>
      <c r="CR44" s="196">
        <v>11.318359185</v>
      </c>
      <c r="CS44" s="196">
        <v>15.051358668000001</v>
      </c>
      <c r="CT44" s="196">
        <v>18.784358150999999</v>
      </c>
      <c r="CU44" s="196">
        <v>22.517357634</v>
      </c>
      <c r="CV44" s="196">
        <v>26.250357117</v>
      </c>
      <c r="CW44" s="196">
        <v>29.9833566</v>
      </c>
      <c r="CX44" s="192"/>
      <c r="CY44" s="192"/>
    </row>
    <row r="45" spans="1:103">
      <c r="A45" t="s">
        <v>205</v>
      </c>
      <c r="B45" s="196">
        <v>27.248208666</v>
      </c>
      <c r="C45" s="196">
        <v>29.850701831999999</v>
      </c>
      <c r="D45" s="196">
        <v>32.453194998000001</v>
      </c>
      <c r="E45" s="196">
        <v>34.718086380000003</v>
      </c>
      <c r="F45" s="196">
        <v>35.126167950000003</v>
      </c>
      <c r="G45" s="196">
        <v>35.534249520000003</v>
      </c>
      <c r="H45" s="196">
        <v>35.942331090000003</v>
      </c>
      <c r="I45" s="196">
        <v>36.227942579999997</v>
      </c>
      <c r="J45" s="196">
        <v>36.237996389999999</v>
      </c>
      <c r="K45" s="196">
        <v>36.248050200000002</v>
      </c>
      <c r="L45" s="196">
        <v>36.258104009999997</v>
      </c>
      <c r="M45" s="196">
        <v>36.336261972000003</v>
      </c>
      <c r="N45" s="196">
        <v>36.493874777999999</v>
      </c>
      <c r="O45" s="196">
        <v>36.651487584000002</v>
      </c>
      <c r="P45" s="196">
        <v>36.809100389999998</v>
      </c>
      <c r="Q45" s="196">
        <v>37.658986427999999</v>
      </c>
      <c r="R45" s="196">
        <v>38.941543236000001</v>
      </c>
      <c r="S45" s="196">
        <v>40.224100043999997</v>
      </c>
      <c r="T45" s="196">
        <v>41.506656851999999</v>
      </c>
      <c r="U45" s="196">
        <v>41.993634059999998</v>
      </c>
      <c r="V45" s="196">
        <v>42.241937387999997</v>
      </c>
      <c r="W45" s="196">
        <v>42.490240716000002</v>
      </c>
      <c r="X45" s="196">
        <v>42.738544044000001</v>
      </c>
      <c r="Y45" s="196">
        <v>43.411653563999998</v>
      </c>
      <c r="Z45" s="196">
        <v>44.120163599999998</v>
      </c>
      <c r="AA45" s="196">
        <v>44.828673635999998</v>
      </c>
      <c r="AB45" s="196">
        <v>45.523401821999997</v>
      </c>
      <c r="AC45" s="196">
        <v>46.052747807999999</v>
      </c>
      <c r="AD45" s="196">
        <v>46.582093794000002</v>
      </c>
      <c r="AE45" s="196">
        <v>47.111439779999998</v>
      </c>
      <c r="AF45" s="196">
        <v>47.526791027999998</v>
      </c>
      <c r="AG45" s="196">
        <v>47.562159815999998</v>
      </c>
      <c r="AH45" s="196">
        <v>47.597528603999997</v>
      </c>
      <c r="AI45" s="196">
        <v>47.632897391999997</v>
      </c>
      <c r="AJ45" s="196">
        <v>48.010413</v>
      </c>
      <c r="AK45" s="196">
        <v>48.935363520000003</v>
      </c>
      <c r="AL45" s="196">
        <v>49.860314039999999</v>
      </c>
      <c r="AM45" s="196">
        <v>50.785264560000002</v>
      </c>
      <c r="AN45" s="196">
        <v>51.287788487999997</v>
      </c>
      <c r="AO45" s="196">
        <v>51.428232479999998</v>
      </c>
      <c r="AP45" s="196">
        <v>51.568676472</v>
      </c>
      <c r="AQ45" s="196">
        <v>51.709120464000002</v>
      </c>
      <c r="AR45" s="196">
        <v>51.924736019999997</v>
      </c>
      <c r="AS45" s="196">
        <v>52.173761159999998</v>
      </c>
      <c r="AT45" s="196">
        <v>52.422786299999999</v>
      </c>
      <c r="AU45" s="196">
        <v>52.671811439999999</v>
      </c>
      <c r="AV45" s="196">
        <v>52.798247519999997</v>
      </c>
      <c r="AW45" s="196">
        <v>52.90239468</v>
      </c>
      <c r="AX45" s="196">
        <v>53.006541839999997</v>
      </c>
      <c r="AY45" s="196">
        <v>53.110689000000001</v>
      </c>
      <c r="AZ45" s="196">
        <v>53.49531168</v>
      </c>
      <c r="BA45" s="196">
        <v>53.87993436</v>
      </c>
      <c r="BB45" s="196">
        <v>54.26455704</v>
      </c>
      <c r="BC45" s="196">
        <v>54.599604720000002</v>
      </c>
      <c r="BD45" s="196">
        <v>54.661989900000002</v>
      </c>
      <c r="BE45" s="196">
        <v>54.724375080000002</v>
      </c>
      <c r="BF45" s="196">
        <v>54.786760260000001</v>
      </c>
      <c r="BG45" s="196">
        <v>54.87103776</v>
      </c>
      <c r="BH45" s="196">
        <v>55.004572979999999</v>
      </c>
      <c r="BI45" s="196">
        <v>55.138108199999998</v>
      </c>
      <c r="BJ45" s="196">
        <v>55.271643419999997</v>
      </c>
      <c r="BK45" s="196">
        <v>55.726662599999997</v>
      </c>
      <c r="BL45" s="196">
        <v>56.556746400000002</v>
      </c>
      <c r="BM45" s="196">
        <v>57.386830199999999</v>
      </c>
      <c r="BN45" s="196">
        <v>58.216914000000003</v>
      </c>
      <c r="BO45" s="196">
        <v>59.2833714</v>
      </c>
      <c r="BP45" s="196">
        <v>60.497562299999998</v>
      </c>
      <c r="BQ45" s="196">
        <v>61.711753199999997</v>
      </c>
      <c r="BR45" s="196">
        <v>62.925944100000002</v>
      </c>
      <c r="BS45" s="196">
        <v>64.959114</v>
      </c>
      <c r="BT45" s="196">
        <v>67.237977599999994</v>
      </c>
      <c r="BU45" s="196">
        <v>69.516841200000002</v>
      </c>
      <c r="BV45" s="196">
        <v>71.795704799999996</v>
      </c>
      <c r="BW45" s="196">
        <v>71.974809359999995</v>
      </c>
      <c r="BX45" s="196">
        <v>71.978933999999995</v>
      </c>
      <c r="BY45" s="196">
        <v>71.983058639999996</v>
      </c>
      <c r="BZ45" s="196">
        <v>72.279556799999995</v>
      </c>
      <c r="CA45" s="196">
        <v>76.0845372</v>
      </c>
      <c r="CB45" s="196">
        <v>79.889517600000005</v>
      </c>
      <c r="CC45" s="196">
        <v>83.694497999999996</v>
      </c>
      <c r="CD45" s="196">
        <v>86.634136859999998</v>
      </c>
      <c r="CE45" s="196">
        <v>86.68930392</v>
      </c>
      <c r="CF45" s="196">
        <v>86.744470980000003</v>
      </c>
      <c r="CG45" s="196">
        <v>86.799638040000005</v>
      </c>
      <c r="CH45" s="196">
        <v>88.037069700000004</v>
      </c>
      <c r="CI45" s="196">
        <v>91.166124719999999</v>
      </c>
      <c r="CJ45" s="196">
        <v>94.295179739999995</v>
      </c>
      <c r="CK45" s="196">
        <v>97.424234760000004</v>
      </c>
      <c r="CL45" s="196">
        <v>98.967246720000006</v>
      </c>
      <c r="CM45" s="196">
        <v>99.150793199999995</v>
      </c>
      <c r="CN45" s="196">
        <v>99.334339679999999</v>
      </c>
      <c r="CO45" s="196">
        <v>99.517886160000003</v>
      </c>
      <c r="CP45" s="196">
        <v>101.0752947</v>
      </c>
      <c r="CQ45" s="196">
        <v>103.24330860000001</v>
      </c>
      <c r="CR45" s="196">
        <v>105.4113225</v>
      </c>
      <c r="CS45" s="196">
        <v>107.5793364</v>
      </c>
      <c r="CT45" s="196">
        <v>120.33101790000001</v>
      </c>
      <c r="CU45" s="196">
        <v>135.00700259999999</v>
      </c>
      <c r="CV45" s="196">
        <v>149.68298730000001</v>
      </c>
      <c r="CW45" s="196">
        <v>164.35897199999999</v>
      </c>
      <c r="CY45" s="193"/>
    </row>
    <row r="46" spans="1:103">
      <c r="A46" t="s">
        <v>206</v>
      </c>
      <c r="B46" s="196">
        <v>3.0843669251999999</v>
      </c>
      <c r="C46" s="196">
        <v>3.2658201504000002</v>
      </c>
      <c r="D46" s="196">
        <v>3.4472733756</v>
      </c>
      <c r="E46" s="196">
        <v>3.6209151672000002</v>
      </c>
      <c r="F46" s="196">
        <v>3.7515940739999998</v>
      </c>
      <c r="G46" s="196">
        <v>3.8822729807999998</v>
      </c>
      <c r="H46" s="196">
        <v>4.0129518875999999</v>
      </c>
      <c r="I46" s="196">
        <v>4.1394871175999999</v>
      </c>
      <c r="J46" s="196">
        <v>4.2566990748000002</v>
      </c>
      <c r="K46" s="196">
        <v>4.3739110319999996</v>
      </c>
      <c r="L46" s="196">
        <v>4.4911229892</v>
      </c>
      <c r="M46" s="196">
        <v>4.5834252936000004</v>
      </c>
      <c r="N46" s="196">
        <v>4.6466663364</v>
      </c>
      <c r="O46" s="196">
        <v>4.7099073791999997</v>
      </c>
      <c r="P46" s="196">
        <v>4.7731484220000002</v>
      </c>
      <c r="Q46" s="196">
        <v>4.8088432151999996</v>
      </c>
      <c r="R46" s="196">
        <v>4.8273216023999996</v>
      </c>
      <c r="S46" s="196">
        <v>4.8457999895999997</v>
      </c>
      <c r="T46" s="196">
        <v>4.8642783767999997</v>
      </c>
      <c r="U46" s="196">
        <v>4.8790207920000004</v>
      </c>
      <c r="V46" s="196">
        <v>4.8926424156000001</v>
      </c>
      <c r="W46" s="196">
        <v>4.9062640391999999</v>
      </c>
      <c r="X46" s="196">
        <v>4.9198856627999996</v>
      </c>
      <c r="Y46" s="196">
        <v>4.9308992448</v>
      </c>
      <c r="Z46" s="196">
        <v>4.9416954899999999</v>
      </c>
      <c r="AA46" s="196">
        <v>4.9524917351999997</v>
      </c>
      <c r="AB46" s="196">
        <v>4.9631753459999999</v>
      </c>
      <c r="AC46" s="196">
        <v>4.9725073440000003</v>
      </c>
      <c r="AD46" s="196">
        <v>4.9818393419999998</v>
      </c>
      <c r="AE46" s="196">
        <v>4.9911713400000002</v>
      </c>
      <c r="AF46" s="196">
        <v>5.0013005039999996</v>
      </c>
      <c r="AG46" s="196">
        <v>5.0140868879999996</v>
      </c>
      <c r="AH46" s="196">
        <v>5.0268732719999996</v>
      </c>
      <c r="AI46" s="196">
        <v>5.0396596560000004</v>
      </c>
      <c r="AJ46" s="196">
        <v>5.1334912499999996</v>
      </c>
      <c r="AK46" s="196">
        <v>5.3569951800000002</v>
      </c>
      <c r="AL46" s="196">
        <v>5.5804991099999999</v>
      </c>
      <c r="AM46" s="196">
        <v>5.8040030399999996</v>
      </c>
      <c r="AN46" s="196">
        <v>5.9393404103999998</v>
      </c>
      <c r="AO46" s="196">
        <v>5.9991064439999997</v>
      </c>
      <c r="AP46" s="196">
        <v>6.0588724775999996</v>
      </c>
      <c r="AQ46" s="196">
        <v>6.1186385112000004</v>
      </c>
      <c r="AR46" s="196">
        <v>6.1891341612000002</v>
      </c>
      <c r="AS46" s="196">
        <v>6.2643985296000002</v>
      </c>
      <c r="AT46" s="196">
        <v>6.3396628980000003</v>
      </c>
      <c r="AU46" s="196">
        <v>6.4149272664000003</v>
      </c>
      <c r="AV46" s="196">
        <v>6.4672530840000002</v>
      </c>
      <c r="AW46" s="196">
        <v>6.5154082559999997</v>
      </c>
      <c r="AX46" s="196">
        <v>6.5635634280000001</v>
      </c>
      <c r="AY46" s="196">
        <v>6.6117185999999997</v>
      </c>
      <c r="AZ46" s="196">
        <v>6.6394052459999999</v>
      </c>
      <c r="BA46" s="196">
        <v>6.6670918920000002</v>
      </c>
      <c r="BB46" s="196">
        <v>6.6947785379999996</v>
      </c>
      <c r="BC46" s="196">
        <v>6.7325047164000003</v>
      </c>
      <c r="BD46" s="196">
        <v>6.8254483229999998</v>
      </c>
      <c r="BE46" s="196">
        <v>6.9183919296000003</v>
      </c>
      <c r="BF46" s="196">
        <v>7.0113355361999998</v>
      </c>
      <c r="BG46" s="196">
        <v>7.1058591972</v>
      </c>
      <c r="BH46" s="196">
        <v>7.2039379806000001</v>
      </c>
      <c r="BI46" s="196">
        <v>7.3020167640000002</v>
      </c>
      <c r="BJ46" s="196">
        <v>7.4000955474000003</v>
      </c>
      <c r="BK46" s="196">
        <v>7.6759709039999997</v>
      </c>
      <c r="BL46" s="196">
        <v>8.1592755960000005</v>
      </c>
      <c r="BM46" s="196">
        <v>8.6425802879999996</v>
      </c>
      <c r="BN46" s="196">
        <v>9.1258849800000093</v>
      </c>
      <c r="BO46" s="196">
        <v>9.4796759759999993</v>
      </c>
      <c r="BP46" s="196">
        <v>9.7525209119999996</v>
      </c>
      <c r="BQ46" s="196">
        <v>10.025365848</v>
      </c>
      <c r="BR46" s="196">
        <v>10.298210784</v>
      </c>
      <c r="BS46" s="196">
        <v>10.50403032</v>
      </c>
      <c r="BT46" s="196">
        <v>10.689742236000001</v>
      </c>
      <c r="BU46" s="196">
        <v>10.875454152</v>
      </c>
      <c r="BV46" s="196">
        <v>11.061166068</v>
      </c>
      <c r="BW46" s="196">
        <v>11.108670816</v>
      </c>
      <c r="BX46" s="196">
        <v>11.1446583</v>
      </c>
      <c r="BY46" s="196">
        <v>11.180645783999999</v>
      </c>
      <c r="BZ46" s="196">
        <v>11.246227559999999</v>
      </c>
      <c r="CA46" s="196">
        <v>11.666940840000001</v>
      </c>
      <c r="CB46" s="196">
        <v>12.08765412</v>
      </c>
      <c r="CC46" s="196">
        <v>12.508367399999999</v>
      </c>
      <c r="CD46" s="196">
        <v>12.972389400000001</v>
      </c>
      <c r="CE46" s="196">
        <v>13.580773799999999</v>
      </c>
      <c r="CF46" s="196">
        <v>14.1891582</v>
      </c>
      <c r="CG46" s="196">
        <v>14.7975426</v>
      </c>
      <c r="CH46" s="196">
        <v>15.824240850000001</v>
      </c>
      <c r="CI46" s="196">
        <v>17.520241259999999</v>
      </c>
      <c r="CJ46" s="196">
        <v>19.216241669999999</v>
      </c>
      <c r="CK46" s="196">
        <v>20.912242079999999</v>
      </c>
      <c r="CL46" s="196">
        <v>21.973769742000002</v>
      </c>
      <c r="CM46" s="196">
        <v>22.491463620000001</v>
      </c>
      <c r="CN46" s="196">
        <v>23.009157498</v>
      </c>
      <c r="CO46" s="196">
        <v>23.526851376</v>
      </c>
      <c r="CP46" s="196">
        <v>26.229517770000001</v>
      </c>
      <c r="CQ46" s="196">
        <v>29.90328306</v>
      </c>
      <c r="CR46" s="196">
        <v>33.577048349999998</v>
      </c>
      <c r="CS46" s="196">
        <v>37.250813639999997</v>
      </c>
      <c r="CT46" s="196">
        <v>39.978985379999997</v>
      </c>
      <c r="CU46" s="196">
        <v>42.535231019999998</v>
      </c>
      <c r="CV46" s="196">
        <v>45.091476659999998</v>
      </c>
      <c r="CW46" s="196">
        <v>47.647722299999998</v>
      </c>
      <c r="CY46" s="192"/>
    </row>
    <row r="47" spans="1:103">
      <c r="A47" t="s">
        <v>207</v>
      </c>
      <c r="B47" s="196">
        <v>4.0949445750000004</v>
      </c>
      <c r="C47" s="196">
        <v>7.9777081499999998</v>
      </c>
      <c r="D47" s="196">
        <v>11.860471725</v>
      </c>
      <c r="E47" s="196">
        <v>15.7432353</v>
      </c>
      <c r="F47" s="196">
        <v>16.2921297</v>
      </c>
      <c r="G47" s="196">
        <v>16.841024099999998</v>
      </c>
      <c r="H47" s="196">
        <v>17.3899185</v>
      </c>
      <c r="I47" s="196">
        <v>17.938812899999999</v>
      </c>
      <c r="J47" s="196">
        <v>18.151539225</v>
      </c>
      <c r="K47" s="196">
        <v>18.364265549999999</v>
      </c>
      <c r="L47" s="196">
        <v>18.576991875000001</v>
      </c>
      <c r="M47" s="196">
        <v>18.789718199999999</v>
      </c>
      <c r="N47" s="196">
        <v>18.891049500000001</v>
      </c>
      <c r="O47" s="196">
        <v>18.992380799999999</v>
      </c>
      <c r="P47" s="196">
        <v>19.093712100000001</v>
      </c>
      <c r="Q47" s="196">
        <v>19.195043399999999</v>
      </c>
      <c r="R47" s="196">
        <v>19.396070025</v>
      </c>
      <c r="S47" s="196">
        <v>19.597096650000001</v>
      </c>
      <c r="T47" s="196">
        <v>19.798123274999998</v>
      </c>
      <c r="U47" s="196">
        <v>19.999149899999999</v>
      </c>
      <c r="V47" s="196">
        <v>20.152584525000002</v>
      </c>
      <c r="W47" s="196">
        <v>20.306019150000001</v>
      </c>
      <c r="X47" s="196">
        <v>20.459453775</v>
      </c>
      <c r="Y47" s="196">
        <v>20.612888399999999</v>
      </c>
      <c r="Z47" s="196">
        <v>20.626918125</v>
      </c>
      <c r="AA47" s="196">
        <v>20.64094785</v>
      </c>
      <c r="AB47" s="196">
        <v>20.654977575</v>
      </c>
      <c r="AC47" s="196">
        <v>20.669007300000001</v>
      </c>
      <c r="AD47" s="196">
        <v>20.703015749999999</v>
      </c>
      <c r="AE47" s="196">
        <v>20.7370242</v>
      </c>
      <c r="AF47" s="196">
        <v>20.771032649999999</v>
      </c>
      <c r="AG47" s="196">
        <v>20.8050411</v>
      </c>
      <c r="AH47" s="196">
        <v>20.824672799999998</v>
      </c>
      <c r="AI47" s="196">
        <v>20.8443045</v>
      </c>
      <c r="AJ47" s="196">
        <v>20.863936200000001</v>
      </c>
      <c r="AK47" s="196">
        <v>20.883567899999999</v>
      </c>
      <c r="AL47" s="196">
        <v>20.928036675000001</v>
      </c>
      <c r="AM47" s="196">
        <v>20.97250545</v>
      </c>
      <c r="AN47" s="196">
        <v>21.016974224999998</v>
      </c>
      <c r="AO47" s="196">
        <v>21.061443000000001</v>
      </c>
      <c r="AP47" s="196">
        <v>21.541477725</v>
      </c>
      <c r="AQ47" s="196">
        <v>22.021512449999999</v>
      </c>
      <c r="AR47" s="196">
        <v>22.501547174999999</v>
      </c>
      <c r="AS47" s="196">
        <v>22.981581899999998</v>
      </c>
      <c r="AT47" s="196">
        <v>23.2024881</v>
      </c>
      <c r="AU47" s="196">
        <v>23.423394299999998</v>
      </c>
      <c r="AV47" s="196">
        <v>23.6443005</v>
      </c>
      <c r="AW47" s="196">
        <v>23.865206700000002</v>
      </c>
      <c r="AX47" s="196">
        <v>24.093995325000002</v>
      </c>
      <c r="AY47" s="196">
        <v>24.322783950000002</v>
      </c>
      <c r="AZ47" s="196">
        <v>24.551572575000002</v>
      </c>
      <c r="BA47" s="196">
        <v>24.780361200000002</v>
      </c>
      <c r="BB47" s="196">
        <v>25.024765949999999</v>
      </c>
      <c r="BC47" s="196">
        <v>25.2691707</v>
      </c>
      <c r="BD47" s="196">
        <v>25.513575450000001</v>
      </c>
      <c r="BE47" s="196">
        <v>25.757980199999999</v>
      </c>
      <c r="BF47" s="196">
        <v>25.816776149999999</v>
      </c>
      <c r="BG47" s="196">
        <v>25.875572099999999</v>
      </c>
      <c r="BH47" s="196">
        <v>25.93436805</v>
      </c>
      <c r="BI47" s="196">
        <v>25.993164</v>
      </c>
      <c r="BJ47" s="196">
        <v>26.06623755</v>
      </c>
      <c r="BK47" s="196">
        <v>26.1393111</v>
      </c>
      <c r="BL47" s="196">
        <v>26.212384650000001</v>
      </c>
      <c r="BM47" s="196">
        <v>26.285458200000001</v>
      </c>
      <c r="BN47" s="196">
        <v>26.3140134</v>
      </c>
      <c r="BO47" s="196">
        <v>26.3425686</v>
      </c>
      <c r="BP47" s="196">
        <v>26.371123799999999</v>
      </c>
      <c r="BQ47" s="196">
        <v>26.399678999999999</v>
      </c>
      <c r="BR47" s="196">
        <v>27.343289550000001</v>
      </c>
      <c r="BS47" s="196">
        <v>28.2869001</v>
      </c>
      <c r="BT47" s="196">
        <v>29.230510649999999</v>
      </c>
      <c r="BU47" s="196">
        <v>30.174121199999998</v>
      </c>
      <c r="BV47" s="196">
        <v>30.520799175000001</v>
      </c>
      <c r="BW47" s="196">
        <v>30.867477149999999</v>
      </c>
      <c r="BX47" s="196">
        <v>31.214155125000001</v>
      </c>
      <c r="BY47" s="196">
        <v>31.5608331</v>
      </c>
      <c r="BZ47" s="196">
        <v>31.630089375000001</v>
      </c>
      <c r="CA47" s="196">
        <v>31.699345650000001</v>
      </c>
      <c r="CB47" s="196">
        <v>31.768601924999999</v>
      </c>
      <c r="CC47" s="196">
        <v>31.837858199999999</v>
      </c>
      <c r="CD47" s="196">
        <v>32.148048975000002</v>
      </c>
      <c r="CE47" s="196">
        <v>32.458239749999997</v>
      </c>
      <c r="CF47" s="196">
        <v>32.768430524999999</v>
      </c>
      <c r="CG47" s="196">
        <v>33.078621300000002</v>
      </c>
      <c r="CH47" s="196">
        <v>33.640206900000003</v>
      </c>
      <c r="CI47" s="196">
        <v>34.201792500000003</v>
      </c>
      <c r="CJ47" s="196">
        <v>34.763378099999997</v>
      </c>
      <c r="CK47" s="196">
        <v>35.324963699999998</v>
      </c>
      <c r="CL47" s="196">
        <v>36.528991724999997</v>
      </c>
      <c r="CM47" s="196">
        <v>37.733019749999997</v>
      </c>
      <c r="CN47" s="196">
        <v>38.937047775000003</v>
      </c>
      <c r="CO47" s="196">
        <v>40.141075800000003</v>
      </c>
      <c r="CP47" s="196">
        <v>42.0324612</v>
      </c>
      <c r="CQ47" s="196">
        <v>43.923846599999997</v>
      </c>
      <c r="CR47" s="196">
        <v>45.815232000000002</v>
      </c>
      <c r="CS47" s="196">
        <v>47.706617399999999</v>
      </c>
      <c r="CT47" s="196">
        <v>48.323231249999999</v>
      </c>
      <c r="CU47" s="196">
        <v>48.939845099999999</v>
      </c>
      <c r="CV47" s="196">
        <v>49.55645895</v>
      </c>
      <c r="CW47" s="196">
        <v>50.1730728</v>
      </c>
      <c r="CY47" s="192"/>
    </row>
    <row r="48" spans="1:103">
      <c r="A48" t="s">
        <v>192</v>
      </c>
      <c r="B48" s="196">
        <v>192.77401355999999</v>
      </c>
      <c r="C48" s="196">
        <v>222.41058312000001</v>
      </c>
      <c r="D48" s="196">
        <v>252.04715268000001</v>
      </c>
      <c r="E48" s="196">
        <v>277.73017548000001</v>
      </c>
      <c r="F48" s="196">
        <v>281.66869109999999</v>
      </c>
      <c r="G48" s="196">
        <v>285.60720672000002</v>
      </c>
      <c r="H48" s="196">
        <v>289.54572234</v>
      </c>
      <c r="I48" s="196">
        <v>292.98150779999997</v>
      </c>
      <c r="J48" s="196">
        <v>295.2861504</v>
      </c>
      <c r="K48" s="196">
        <v>297.59079300000002</v>
      </c>
      <c r="L48" s="196">
        <v>299.89543559999998</v>
      </c>
      <c r="M48" s="196">
        <v>302.19341531999999</v>
      </c>
      <c r="N48" s="196">
        <v>304.48362168</v>
      </c>
      <c r="O48" s="196">
        <v>306.77382804000001</v>
      </c>
      <c r="P48" s="196">
        <v>309.06403440000003</v>
      </c>
      <c r="Q48" s="196">
        <v>310.39827611999999</v>
      </c>
      <c r="R48" s="196">
        <v>311.13503994000001</v>
      </c>
      <c r="S48" s="196">
        <v>311.87180375999998</v>
      </c>
      <c r="T48" s="196">
        <v>312.60856758</v>
      </c>
      <c r="U48" s="196">
        <v>312.91105440000001</v>
      </c>
      <c r="V48" s="196">
        <v>313.08325811999998</v>
      </c>
      <c r="W48" s="196">
        <v>313.25546184000001</v>
      </c>
      <c r="X48" s="196">
        <v>313.42766555999998</v>
      </c>
      <c r="Y48" s="196">
        <v>314.01867887999998</v>
      </c>
      <c r="Z48" s="196">
        <v>314.64459299999999</v>
      </c>
      <c r="AA48" s="196">
        <v>315.27050711999999</v>
      </c>
      <c r="AB48" s="196">
        <v>316.03324823999998</v>
      </c>
      <c r="AC48" s="196">
        <v>318.43791335999998</v>
      </c>
      <c r="AD48" s="196">
        <v>320.84257847999999</v>
      </c>
      <c r="AE48" s="196">
        <v>323.24724359999999</v>
      </c>
      <c r="AF48" s="196">
        <v>325.13077632</v>
      </c>
      <c r="AG48" s="196">
        <v>325.27720104000002</v>
      </c>
      <c r="AH48" s="196">
        <v>325.42362575999999</v>
      </c>
      <c r="AI48" s="196">
        <v>325.57005048000002</v>
      </c>
      <c r="AJ48" s="196">
        <v>326.32230153</v>
      </c>
      <c r="AK48" s="196">
        <v>328.04387470799998</v>
      </c>
      <c r="AL48" s="196">
        <v>329.765447886</v>
      </c>
      <c r="AM48" s="196">
        <v>331.48702106399998</v>
      </c>
      <c r="AN48" s="196">
        <v>333.19326961799999</v>
      </c>
      <c r="AO48" s="196">
        <v>334.88638278000002</v>
      </c>
      <c r="AP48" s="196">
        <v>336.57949594199999</v>
      </c>
      <c r="AQ48" s="196">
        <v>338.27260910400003</v>
      </c>
      <c r="AR48" s="196">
        <v>339.26008758</v>
      </c>
      <c r="AS48" s="196">
        <v>339.93395063999998</v>
      </c>
      <c r="AT48" s="196">
        <v>340.60781370000001</v>
      </c>
      <c r="AU48" s="196">
        <v>341.28167675999998</v>
      </c>
      <c r="AV48" s="196">
        <v>346.78057541999999</v>
      </c>
      <c r="AW48" s="196">
        <v>353.15675327999998</v>
      </c>
      <c r="AX48" s="196">
        <v>359.53293114000002</v>
      </c>
      <c r="AY48" s="196">
        <v>365.909109</v>
      </c>
      <c r="AZ48" s="196">
        <v>372.45749058000001</v>
      </c>
      <c r="BA48" s="196">
        <v>379.00587216000002</v>
      </c>
      <c r="BB48" s="196">
        <v>385.55425373999998</v>
      </c>
      <c r="BC48" s="196">
        <v>391.80002952000001</v>
      </c>
      <c r="BD48" s="196">
        <v>396.3814734</v>
      </c>
      <c r="BE48" s="196">
        <v>400.96291728</v>
      </c>
      <c r="BF48" s="196">
        <v>405.54436115999999</v>
      </c>
      <c r="BG48" s="196">
        <v>408.99977832000002</v>
      </c>
      <c r="BH48" s="196">
        <v>409.92163535999998</v>
      </c>
      <c r="BI48" s="196">
        <v>410.8434924</v>
      </c>
      <c r="BJ48" s="196">
        <v>411.76534944000002</v>
      </c>
      <c r="BK48" s="196">
        <v>418.12078511999999</v>
      </c>
      <c r="BL48" s="196">
        <v>430.81539587999998</v>
      </c>
      <c r="BM48" s="196">
        <v>443.51000663999997</v>
      </c>
      <c r="BN48" s="196">
        <v>456.20461740000002</v>
      </c>
      <c r="BO48" s="196">
        <v>461.80357823999998</v>
      </c>
      <c r="BP48" s="196">
        <v>462.96775788000002</v>
      </c>
      <c r="BQ48" s="196">
        <v>464.13193752000001</v>
      </c>
      <c r="BR48" s="196">
        <v>465.29611715999999</v>
      </c>
      <c r="BS48" s="196">
        <v>474.7643076</v>
      </c>
      <c r="BT48" s="196">
        <v>486.72370128</v>
      </c>
      <c r="BU48" s="196">
        <v>498.68309496000001</v>
      </c>
      <c r="BV48" s="196">
        <v>510.64248864000001</v>
      </c>
      <c r="BW48" s="196">
        <v>514.93481111999995</v>
      </c>
      <c r="BX48" s="196">
        <v>518.588211</v>
      </c>
      <c r="BY48" s="196">
        <v>522.24161088000005</v>
      </c>
      <c r="BZ48" s="196">
        <v>525.77963982000006</v>
      </c>
      <c r="CA48" s="196">
        <v>527.93321748000005</v>
      </c>
      <c r="CB48" s="196">
        <v>530.08679514000005</v>
      </c>
      <c r="CC48" s="196">
        <v>532.24037280000005</v>
      </c>
      <c r="CD48" s="196">
        <v>535.68773897999995</v>
      </c>
      <c r="CE48" s="196">
        <v>543.44773355999996</v>
      </c>
      <c r="CF48" s="196">
        <v>551.20772813999997</v>
      </c>
      <c r="CG48" s="196">
        <v>558.96772271999998</v>
      </c>
      <c r="CH48" s="196">
        <v>574.71325830000001</v>
      </c>
      <c r="CI48" s="196">
        <v>603.23565947999998</v>
      </c>
      <c r="CJ48" s="196">
        <v>631.75806065999996</v>
      </c>
      <c r="CK48" s="196">
        <v>660.28046184000004</v>
      </c>
      <c r="CL48" s="196">
        <v>674.71920041999999</v>
      </c>
      <c r="CM48" s="196">
        <v>677.08622820000005</v>
      </c>
      <c r="CN48" s="196">
        <v>679.45325597999999</v>
      </c>
      <c r="CO48" s="196">
        <v>681.82028376000005</v>
      </c>
      <c r="CP48" s="196">
        <v>698.73904145999995</v>
      </c>
      <c r="CQ48" s="196">
        <v>722.12523467999995</v>
      </c>
      <c r="CR48" s="196">
        <v>745.51142789999994</v>
      </c>
      <c r="CS48" s="196">
        <v>768.89762112000005</v>
      </c>
      <c r="CT48" s="196">
        <v>797.84176674000003</v>
      </c>
      <c r="CU48" s="196">
        <v>827.79644915999995</v>
      </c>
      <c r="CV48" s="196">
        <v>857.75113157999999</v>
      </c>
      <c r="CW48" s="196">
        <v>887.70581400000003</v>
      </c>
      <c r="CY48" s="192"/>
    </row>
    <row r="49" spans="1:103">
      <c r="A49" t="s">
        <v>135</v>
      </c>
      <c r="B49" s="196">
        <v>6.927176223</v>
      </c>
      <c r="C49" s="196">
        <v>7.5952112459999999</v>
      </c>
      <c r="D49" s="196">
        <v>8.2632462689999997</v>
      </c>
      <c r="E49" s="196">
        <v>8.9312812919999995</v>
      </c>
      <c r="F49" s="196">
        <v>9.1885973550000006</v>
      </c>
      <c r="G49" s="196">
        <v>9.2268633060000003</v>
      </c>
      <c r="H49" s="196">
        <v>9.2651292569999999</v>
      </c>
      <c r="I49" s="196">
        <v>9.3033952079999995</v>
      </c>
      <c r="J49" s="196">
        <v>9.3618024900000005</v>
      </c>
      <c r="K49" s="196">
        <v>9.4662471000000004</v>
      </c>
      <c r="L49" s="196">
        <v>9.5706917100000002</v>
      </c>
      <c r="M49" s="196">
        <v>9.67513632</v>
      </c>
      <c r="N49" s="196">
        <v>9.7795809299999998</v>
      </c>
      <c r="O49" s="196">
        <v>9.8891734079999996</v>
      </c>
      <c r="P49" s="196">
        <v>9.9989998799999995</v>
      </c>
      <c r="Q49" s="196">
        <v>10.108826351999999</v>
      </c>
      <c r="R49" s="196">
        <v>10.218652823999999</v>
      </c>
      <c r="S49" s="196">
        <v>10.658569476</v>
      </c>
      <c r="T49" s="196">
        <v>11.310686958</v>
      </c>
      <c r="U49" s="196">
        <v>11.962804439999999</v>
      </c>
      <c r="V49" s="196">
        <v>12.614921922000001</v>
      </c>
      <c r="W49" s="196">
        <v>13.141027685999999</v>
      </c>
      <c r="X49" s="196">
        <v>13.310100249</v>
      </c>
      <c r="Y49" s="196">
        <v>13.479172812</v>
      </c>
      <c r="Z49" s="196">
        <v>13.648245375</v>
      </c>
      <c r="AA49" s="196">
        <v>13.817317938</v>
      </c>
      <c r="AB49" s="196">
        <v>13.873121541</v>
      </c>
      <c r="AC49" s="196">
        <v>13.918137624</v>
      </c>
      <c r="AD49" s="196">
        <v>13.963153707</v>
      </c>
      <c r="AE49" s="196">
        <v>14.00816979</v>
      </c>
      <c r="AF49" s="196">
        <v>14.075974509</v>
      </c>
      <c r="AG49" s="196">
        <v>14.161308948</v>
      </c>
      <c r="AH49" s="196">
        <v>14.246643387000001</v>
      </c>
      <c r="AI49" s="196">
        <v>14.331977825999999</v>
      </c>
      <c r="AJ49" s="196">
        <v>14.484912735</v>
      </c>
      <c r="AK49" s="196">
        <v>14.881209336</v>
      </c>
      <c r="AL49" s="196">
        <v>15.277505937000001</v>
      </c>
      <c r="AM49" s="196">
        <v>15.673802538</v>
      </c>
      <c r="AN49" s="196">
        <v>16.070099139</v>
      </c>
      <c r="AO49" s="196">
        <v>16.230022139999999</v>
      </c>
      <c r="AP49" s="196">
        <v>16.354489100999999</v>
      </c>
      <c r="AQ49" s="196">
        <v>16.478956062000002</v>
      </c>
      <c r="AR49" s="196">
        <v>16.603423023000001</v>
      </c>
      <c r="AS49" s="196">
        <v>16.781918802</v>
      </c>
      <c r="AT49" s="196">
        <v>17.009940997499999</v>
      </c>
      <c r="AU49" s="196">
        <v>17.237963192999999</v>
      </c>
      <c r="AV49" s="196">
        <v>17.465985388499998</v>
      </c>
      <c r="AW49" s="196">
        <v>17.659638227999999</v>
      </c>
      <c r="AX49" s="196">
        <v>17.6900366265</v>
      </c>
      <c r="AY49" s="196">
        <v>17.720435025</v>
      </c>
      <c r="AZ49" s="196">
        <v>17.750833423500001</v>
      </c>
      <c r="BA49" s="196">
        <v>17.781231821999999</v>
      </c>
      <c r="BB49" s="196">
        <v>18.183257309999998</v>
      </c>
      <c r="BC49" s="196">
        <v>18.663520080000001</v>
      </c>
      <c r="BD49" s="196">
        <v>19.143782850000001</v>
      </c>
      <c r="BE49" s="196">
        <v>19.62404562</v>
      </c>
      <c r="BF49" s="196">
        <v>19.995461519999999</v>
      </c>
      <c r="BG49" s="196">
        <v>20.248135380000001</v>
      </c>
      <c r="BH49" s="196">
        <v>20.500809239999999</v>
      </c>
      <c r="BI49" s="196">
        <v>20.7534831</v>
      </c>
      <c r="BJ49" s="196">
        <v>20.984460957</v>
      </c>
      <c r="BK49" s="196">
        <v>21.070798794000002</v>
      </c>
      <c r="BL49" s="196">
        <v>21.157136631</v>
      </c>
      <c r="BM49" s="196">
        <v>21.243474467999999</v>
      </c>
      <c r="BN49" s="196">
        <v>21.329812305000001</v>
      </c>
      <c r="BO49" s="196">
        <v>21.625531146</v>
      </c>
      <c r="BP49" s="196">
        <v>21.979411377000002</v>
      </c>
      <c r="BQ49" s="196">
        <v>22.333291608</v>
      </c>
      <c r="BR49" s="196">
        <v>22.687171839000001</v>
      </c>
      <c r="BS49" s="196">
        <v>22.933375170000001</v>
      </c>
      <c r="BT49" s="196">
        <v>23.039598530999999</v>
      </c>
      <c r="BU49" s="196">
        <v>23.145821892000001</v>
      </c>
      <c r="BV49" s="196">
        <v>23.252045252999999</v>
      </c>
      <c r="BW49" s="196">
        <v>23.352026129999999</v>
      </c>
      <c r="BX49" s="196">
        <v>23.386460925000002</v>
      </c>
      <c r="BY49" s="196">
        <v>23.420895720000001</v>
      </c>
      <c r="BZ49" s="196">
        <v>23.455330515</v>
      </c>
      <c r="CA49" s="196">
        <v>23.489765309999999</v>
      </c>
      <c r="CB49" s="196">
        <v>24.228995982000001</v>
      </c>
      <c r="CC49" s="196">
        <v>25.216978139999998</v>
      </c>
      <c r="CD49" s="196">
        <v>26.204960298</v>
      </c>
      <c r="CE49" s="196">
        <v>27.192942456000001</v>
      </c>
      <c r="CF49" s="196">
        <v>28.134022697999999</v>
      </c>
      <c r="CG49" s="196">
        <v>29.002144403999999</v>
      </c>
      <c r="CH49" s="196">
        <v>29.870266109999999</v>
      </c>
      <c r="CI49" s="196">
        <v>30.738387815999999</v>
      </c>
      <c r="CJ49" s="196">
        <v>31.625336124</v>
      </c>
      <c r="CK49" s="196">
        <v>32.926469676000004</v>
      </c>
      <c r="CL49" s="196">
        <v>34.227603228</v>
      </c>
      <c r="CM49" s="196">
        <v>35.528736780000003</v>
      </c>
      <c r="CN49" s="196">
        <v>36.829870331999999</v>
      </c>
      <c r="CO49" s="196">
        <v>37.279963739999999</v>
      </c>
      <c r="CP49" s="196">
        <v>37.357727085</v>
      </c>
      <c r="CQ49" s="196">
        <v>37.435490430000002</v>
      </c>
      <c r="CR49" s="196">
        <v>37.513253775000003</v>
      </c>
      <c r="CS49" s="196">
        <v>37.776387960000001</v>
      </c>
      <c r="CT49" s="196">
        <v>38.387092469999999</v>
      </c>
      <c r="CU49" s="196">
        <v>38.997796979999997</v>
      </c>
      <c r="CV49" s="196">
        <v>39.608501490000002</v>
      </c>
      <c r="CW49" s="196">
        <v>40.219206</v>
      </c>
      <c r="CY49" s="192"/>
    </row>
    <row r="50" spans="1:103">
      <c r="A50" t="s">
        <v>208</v>
      </c>
      <c r="B50" s="196">
        <v>101.94749742</v>
      </c>
      <c r="C50" s="196">
        <v>106.97388684000001</v>
      </c>
      <c r="D50" s="196">
        <v>112.00027626000001</v>
      </c>
      <c r="E50" s="196">
        <v>116.59635468</v>
      </c>
      <c r="F50" s="196">
        <v>118.82572260000001</v>
      </c>
      <c r="G50" s="196">
        <v>121.05509051999999</v>
      </c>
      <c r="H50" s="196">
        <v>123.28445843999999</v>
      </c>
      <c r="I50" s="196">
        <v>124.87799724</v>
      </c>
      <c r="J50" s="196">
        <v>125.04092052</v>
      </c>
      <c r="K50" s="196">
        <v>125.2038438</v>
      </c>
      <c r="L50" s="196">
        <v>125.36676708</v>
      </c>
      <c r="M50" s="196">
        <v>126.44940576</v>
      </c>
      <c r="N50" s="196">
        <v>128.60504574000001</v>
      </c>
      <c r="O50" s="196">
        <v>130.76068572</v>
      </c>
      <c r="P50" s="196">
        <v>132.91632569999999</v>
      </c>
      <c r="Q50" s="196">
        <v>135.27883224000001</v>
      </c>
      <c r="R50" s="196">
        <v>137.77063038</v>
      </c>
      <c r="S50" s="196">
        <v>140.26242851999999</v>
      </c>
      <c r="T50" s="196">
        <v>142.75422666</v>
      </c>
      <c r="U50" s="196">
        <v>143.7790014</v>
      </c>
      <c r="V50" s="196">
        <v>144.36366912</v>
      </c>
      <c r="W50" s="196">
        <v>144.94833684</v>
      </c>
      <c r="X50" s="196">
        <v>145.53300455999999</v>
      </c>
      <c r="Y50" s="196">
        <v>146.15193851999999</v>
      </c>
      <c r="Z50" s="196">
        <v>146.77372800000001</v>
      </c>
      <c r="AA50" s="196">
        <v>147.39551748</v>
      </c>
      <c r="AB50" s="196">
        <v>148.03527294</v>
      </c>
      <c r="AC50" s="196">
        <v>148.89062016</v>
      </c>
      <c r="AD50" s="196">
        <v>149.74596738</v>
      </c>
      <c r="AE50" s="196">
        <v>150.60131459999999</v>
      </c>
      <c r="AF50" s="196">
        <v>151.50282605999999</v>
      </c>
      <c r="AG50" s="196">
        <v>152.55821832000001</v>
      </c>
      <c r="AH50" s="196">
        <v>153.61361058</v>
      </c>
      <c r="AI50" s="196">
        <v>154.66900283999999</v>
      </c>
      <c r="AJ50" s="196">
        <v>155.85388499999999</v>
      </c>
      <c r="AK50" s="196">
        <v>157.24595099999999</v>
      </c>
      <c r="AL50" s="196">
        <v>158.63801699999999</v>
      </c>
      <c r="AM50" s="196">
        <v>160.03008299999999</v>
      </c>
      <c r="AN50" s="196">
        <v>160.88662002000001</v>
      </c>
      <c r="AO50" s="196">
        <v>161.28413219999999</v>
      </c>
      <c r="AP50" s="196">
        <v>161.68164437999999</v>
      </c>
      <c r="AQ50" s="196">
        <v>162.07915656</v>
      </c>
      <c r="AR50" s="196">
        <v>162.25964922</v>
      </c>
      <c r="AS50" s="196">
        <v>162.34368875999999</v>
      </c>
      <c r="AT50" s="196">
        <v>162.42772830000001</v>
      </c>
      <c r="AU50" s="196">
        <v>162.51176784</v>
      </c>
      <c r="AV50" s="196">
        <v>163.04035632</v>
      </c>
      <c r="AW50" s="196">
        <v>163.64977188</v>
      </c>
      <c r="AX50" s="196">
        <v>164.25918744000001</v>
      </c>
      <c r="AY50" s="196">
        <v>164.86860300000001</v>
      </c>
      <c r="AZ50" s="196">
        <v>165.95235216</v>
      </c>
      <c r="BA50" s="196">
        <v>167.03610132</v>
      </c>
      <c r="BB50" s="196">
        <v>168.11985048</v>
      </c>
      <c r="BC50" s="196">
        <v>169.33709519999999</v>
      </c>
      <c r="BD50" s="196">
        <v>171.2885655</v>
      </c>
      <c r="BE50" s="196">
        <v>173.24003579999999</v>
      </c>
      <c r="BF50" s="196">
        <v>175.1915061</v>
      </c>
      <c r="BG50" s="196">
        <v>178.14066335999999</v>
      </c>
      <c r="BH50" s="196">
        <v>183.33461628000001</v>
      </c>
      <c r="BI50" s="196">
        <v>188.52856919999999</v>
      </c>
      <c r="BJ50" s="196">
        <v>193.72252212000001</v>
      </c>
      <c r="BK50" s="196">
        <v>196.59041604000001</v>
      </c>
      <c r="BL50" s="196">
        <v>196.74457446</v>
      </c>
      <c r="BM50" s="196">
        <v>196.89873288000001</v>
      </c>
      <c r="BN50" s="196">
        <v>197.0528913</v>
      </c>
      <c r="BO50" s="196">
        <v>198.19188684</v>
      </c>
      <c r="BP50" s="196">
        <v>199.94640558</v>
      </c>
      <c r="BQ50" s="196">
        <v>201.70092432000001</v>
      </c>
      <c r="BR50" s="196">
        <v>203.45544305999999</v>
      </c>
      <c r="BS50" s="196">
        <v>208.17890940000001</v>
      </c>
      <c r="BT50" s="196">
        <v>213.79306002000001</v>
      </c>
      <c r="BU50" s="196">
        <v>219.40721063999999</v>
      </c>
      <c r="BV50" s="196">
        <v>225.02136125999999</v>
      </c>
      <c r="BW50" s="196">
        <v>225.9077226</v>
      </c>
      <c r="BX50" s="196">
        <v>226.40010150000001</v>
      </c>
      <c r="BY50" s="196">
        <v>226.89248040000001</v>
      </c>
      <c r="BZ50" s="196">
        <v>227.94077351999999</v>
      </c>
      <c r="CA50" s="196">
        <v>235.66003728000001</v>
      </c>
      <c r="CB50" s="196">
        <v>243.37930104</v>
      </c>
      <c r="CC50" s="196">
        <v>251.09856479999999</v>
      </c>
      <c r="CD50" s="196">
        <v>260.06961713999999</v>
      </c>
      <c r="CE50" s="196">
        <v>273.21329808000002</v>
      </c>
      <c r="CF50" s="196">
        <v>286.35697901999998</v>
      </c>
      <c r="CG50" s="196">
        <v>299.50065996000001</v>
      </c>
      <c r="CH50" s="196">
        <v>314.8135446</v>
      </c>
      <c r="CI50" s="196">
        <v>333.59715516</v>
      </c>
      <c r="CJ50" s="196">
        <v>352.38076572</v>
      </c>
      <c r="CK50" s="196">
        <v>371.16437628</v>
      </c>
      <c r="CL50" s="196">
        <v>380.71351277999997</v>
      </c>
      <c r="CM50" s="196">
        <v>382.34738579999998</v>
      </c>
      <c r="CN50" s="196">
        <v>383.98125881999999</v>
      </c>
      <c r="CO50" s="196">
        <v>385.61513184</v>
      </c>
      <c r="CP50" s="196">
        <v>392.12658995999999</v>
      </c>
      <c r="CQ50" s="196">
        <v>400.80586368000002</v>
      </c>
      <c r="CR50" s="196">
        <v>409.48513739999999</v>
      </c>
      <c r="CS50" s="196">
        <v>418.16441112000001</v>
      </c>
      <c r="CT50" s="196">
        <v>440.37952386000001</v>
      </c>
      <c r="CU50" s="196">
        <v>465.05569824000003</v>
      </c>
      <c r="CV50" s="196">
        <v>489.73187261999999</v>
      </c>
      <c r="CW50" s="196">
        <v>514.40804700000001</v>
      </c>
      <c r="CY50" s="192"/>
    </row>
    <row r="51" spans="1:103">
      <c r="A51" t="s">
        <v>209</v>
      </c>
      <c r="B51" s="196">
        <v>8.940656916</v>
      </c>
      <c r="C51" s="196">
        <v>9.7399090319999999</v>
      </c>
      <c r="D51" s="196">
        <v>10.539161148</v>
      </c>
      <c r="E51" s="196">
        <v>11.242007736</v>
      </c>
      <c r="F51" s="196">
        <v>11.41462392</v>
      </c>
      <c r="G51" s="196">
        <v>11.587240103999999</v>
      </c>
      <c r="H51" s="196">
        <v>11.759856288</v>
      </c>
      <c r="I51" s="196">
        <v>11.940372743999999</v>
      </c>
      <c r="J51" s="196">
        <v>12.138664812</v>
      </c>
      <c r="K51" s="196">
        <v>12.336956880000001</v>
      </c>
      <c r="L51" s="196">
        <v>12.535248948</v>
      </c>
      <c r="M51" s="196">
        <v>12.723451512</v>
      </c>
      <c r="N51" s="196">
        <v>12.899882988</v>
      </c>
      <c r="O51" s="196">
        <v>13.076314463999999</v>
      </c>
      <c r="P51" s="196">
        <v>13.252745940000001</v>
      </c>
      <c r="Q51" s="196">
        <v>13.331010984000001</v>
      </c>
      <c r="R51" s="196">
        <v>13.347922007999999</v>
      </c>
      <c r="S51" s="196">
        <v>13.364833032</v>
      </c>
      <c r="T51" s="196">
        <v>13.381744056</v>
      </c>
      <c r="U51" s="196">
        <v>13.395839219999999</v>
      </c>
      <c r="V51" s="196">
        <v>13.409089626</v>
      </c>
      <c r="W51" s="196">
        <v>13.422340031999999</v>
      </c>
      <c r="X51" s="196">
        <v>13.435590438</v>
      </c>
      <c r="Y51" s="196">
        <v>13.518087204</v>
      </c>
      <c r="Z51" s="196">
        <v>13.6063545</v>
      </c>
      <c r="AA51" s="196">
        <v>13.694621796</v>
      </c>
      <c r="AB51" s="196">
        <v>13.781282861999999</v>
      </c>
      <c r="AC51" s="196">
        <v>13.848669168000001</v>
      </c>
      <c r="AD51" s="196">
        <v>13.916055474</v>
      </c>
      <c r="AE51" s="196">
        <v>13.98344178</v>
      </c>
      <c r="AF51" s="196">
        <v>14.052362928000001</v>
      </c>
      <c r="AG51" s="196">
        <v>14.126400216</v>
      </c>
      <c r="AH51" s="196">
        <v>14.200437504</v>
      </c>
      <c r="AI51" s="196">
        <v>14.274474791999999</v>
      </c>
      <c r="AJ51" s="196">
        <v>14.37512394</v>
      </c>
      <c r="AK51" s="196">
        <v>14.518352064</v>
      </c>
      <c r="AL51" s="196">
        <v>14.661580188</v>
      </c>
      <c r="AM51" s="196">
        <v>14.804808312</v>
      </c>
      <c r="AN51" s="196">
        <v>14.934433056</v>
      </c>
      <c r="AO51" s="196">
        <v>15.05239776</v>
      </c>
      <c r="AP51" s="196">
        <v>15.170362464</v>
      </c>
      <c r="AQ51" s="196">
        <v>15.288327168</v>
      </c>
      <c r="AR51" s="196">
        <v>15.365672099999999</v>
      </c>
      <c r="AS51" s="196">
        <v>15.4249638</v>
      </c>
      <c r="AT51" s="196">
        <v>15.4842555</v>
      </c>
      <c r="AU51" s="196">
        <v>15.543547200000001</v>
      </c>
      <c r="AV51" s="196">
        <v>15.602315387999999</v>
      </c>
      <c r="AW51" s="196">
        <v>15.660988392</v>
      </c>
      <c r="AX51" s="196">
        <v>15.719661395999999</v>
      </c>
      <c r="AY51" s="196">
        <v>15.7783344</v>
      </c>
      <c r="AZ51" s="196">
        <v>16.131094235999999</v>
      </c>
      <c r="BA51" s="196">
        <v>16.483854072</v>
      </c>
      <c r="BB51" s="196">
        <v>16.836613908</v>
      </c>
      <c r="BC51" s="196">
        <v>17.140647468000001</v>
      </c>
      <c r="BD51" s="196">
        <v>17.17668651</v>
      </c>
      <c r="BE51" s="196">
        <v>17.212725551999998</v>
      </c>
      <c r="BF51" s="196">
        <v>17.248764594000001</v>
      </c>
      <c r="BG51" s="196">
        <v>17.292497676</v>
      </c>
      <c r="BH51" s="196">
        <v>17.353542348000001</v>
      </c>
      <c r="BI51" s="196">
        <v>17.414587019999999</v>
      </c>
      <c r="BJ51" s="196">
        <v>17.475631692</v>
      </c>
      <c r="BK51" s="196">
        <v>17.722166183999999</v>
      </c>
      <c r="BL51" s="196">
        <v>18.185105466</v>
      </c>
      <c r="BM51" s="196">
        <v>18.648044748</v>
      </c>
      <c r="BN51" s="196">
        <v>19.110984030000001</v>
      </c>
      <c r="BO51" s="196">
        <v>19.69483872</v>
      </c>
      <c r="BP51" s="196">
        <v>20.35426554</v>
      </c>
      <c r="BQ51" s="196">
        <v>21.01369236</v>
      </c>
      <c r="BR51" s="196">
        <v>21.67311918</v>
      </c>
      <c r="BS51" s="196">
        <v>21.878756280000001</v>
      </c>
      <c r="BT51" s="196">
        <v>21.948256464</v>
      </c>
      <c r="BU51" s="196">
        <v>22.017756647999999</v>
      </c>
      <c r="BV51" s="196">
        <v>22.087256832000001</v>
      </c>
      <c r="BW51" s="196">
        <v>22.120253951999999</v>
      </c>
      <c r="BX51" s="196">
        <v>22.150209149999998</v>
      </c>
      <c r="BY51" s="196">
        <v>22.180164348000002</v>
      </c>
      <c r="BZ51" s="196">
        <v>22.229116686000001</v>
      </c>
      <c r="CA51" s="196">
        <v>22.506034704000001</v>
      </c>
      <c r="CB51" s="196">
        <v>22.782952722000001</v>
      </c>
      <c r="CC51" s="196">
        <v>23.059870740000001</v>
      </c>
      <c r="CD51" s="196">
        <v>23.494639524</v>
      </c>
      <c r="CE51" s="196">
        <v>24.455577527999999</v>
      </c>
      <c r="CF51" s="196">
        <v>25.416515531999998</v>
      </c>
      <c r="CG51" s="196">
        <v>26.377453536000001</v>
      </c>
      <c r="CH51" s="196">
        <v>27.005624310000002</v>
      </c>
      <c r="CI51" s="196">
        <v>27.101367516</v>
      </c>
      <c r="CJ51" s="196">
        <v>27.197110722000001</v>
      </c>
      <c r="CK51" s="196">
        <v>27.292853928</v>
      </c>
      <c r="CL51" s="196">
        <v>27.398758025999999</v>
      </c>
      <c r="CM51" s="196">
        <v>27.513371459999998</v>
      </c>
      <c r="CN51" s="196">
        <v>27.627984894000001</v>
      </c>
      <c r="CO51" s="196">
        <v>27.742598328</v>
      </c>
      <c r="CP51" s="196">
        <v>27.83533134</v>
      </c>
      <c r="CQ51" s="196">
        <v>27.918339719999999</v>
      </c>
      <c r="CR51" s="196">
        <v>28.001348100000001</v>
      </c>
      <c r="CS51" s="196">
        <v>28.08435648</v>
      </c>
      <c r="CT51" s="196">
        <v>33.840271770000001</v>
      </c>
      <c r="CU51" s="196">
        <v>40.627624679999997</v>
      </c>
      <c r="CV51" s="196">
        <v>47.414977589999999</v>
      </c>
      <c r="CW51" s="196">
        <v>54.202330500000002</v>
      </c>
      <c r="CY51" s="192"/>
    </row>
    <row r="52" spans="1:103">
      <c r="A52" t="s">
        <v>210</v>
      </c>
      <c r="B52" s="196">
        <v>24.7407012</v>
      </c>
      <c r="C52" s="196">
        <v>24.812882399999999</v>
      </c>
      <c r="D52" s="196">
        <v>24.885063599999999</v>
      </c>
      <c r="E52" s="196">
        <v>25.041490572000001</v>
      </c>
      <c r="F52" s="196">
        <v>25.66126929</v>
      </c>
      <c r="G52" s="196">
        <v>26.281048007999999</v>
      </c>
      <c r="H52" s="196">
        <v>26.900826725999998</v>
      </c>
      <c r="I52" s="196">
        <v>27.347243652</v>
      </c>
      <c r="J52" s="196">
        <v>27.403596545999999</v>
      </c>
      <c r="K52" s="196">
        <v>27.459949439999999</v>
      </c>
      <c r="L52" s="196">
        <v>27.516302333999999</v>
      </c>
      <c r="M52" s="196">
        <v>27.769543332000001</v>
      </c>
      <c r="N52" s="196">
        <v>28.252487118000001</v>
      </c>
      <c r="O52" s="196">
        <v>28.735430904000001</v>
      </c>
      <c r="P52" s="196">
        <v>29.218374690000001</v>
      </c>
      <c r="Q52" s="196">
        <v>29.516090412</v>
      </c>
      <c r="R52" s="196">
        <v>29.698038594</v>
      </c>
      <c r="S52" s="196">
        <v>29.879986775999999</v>
      </c>
      <c r="T52" s="196">
        <v>30.061934957999998</v>
      </c>
      <c r="U52" s="196">
        <v>30.130653840000001</v>
      </c>
      <c r="V52" s="196">
        <v>30.165403932</v>
      </c>
      <c r="W52" s="196">
        <v>30.200154024</v>
      </c>
      <c r="X52" s="196">
        <v>30.234904115999999</v>
      </c>
      <c r="Y52" s="196">
        <v>30.453359328000001</v>
      </c>
      <c r="Z52" s="196">
        <v>30.6871233</v>
      </c>
      <c r="AA52" s="196">
        <v>30.920887272000002</v>
      </c>
      <c r="AB52" s="196">
        <v>31.165688622000001</v>
      </c>
      <c r="AC52" s="196">
        <v>31.542938507999999</v>
      </c>
      <c r="AD52" s="196">
        <v>31.920188394</v>
      </c>
      <c r="AE52" s="196">
        <v>32.297438280000001</v>
      </c>
      <c r="AF52" s="196">
        <v>32.601420281999999</v>
      </c>
      <c r="AG52" s="196">
        <v>32.661176003999998</v>
      </c>
      <c r="AH52" s="196">
        <v>32.720931726000003</v>
      </c>
      <c r="AI52" s="196">
        <v>32.780687448000002</v>
      </c>
      <c r="AJ52" s="196">
        <v>32.906952990000001</v>
      </c>
      <c r="AK52" s="196">
        <v>33.139634244</v>
      </c>
      <c r="AL52" s="196">
        <v>33.372315497999999</v>
      </c>
      <c r="AM52" s="196">
        <v>33.604996751999998</v>
      </c>
      <c r="AN52" s="196">
        <v>33.765135899999997</v>
      </c>
      <c r="AO52" s="196">
        <v>33.8630961</v>
      </c>
      <c r="AP52" s="196">
        <v>33.961056300000003</v>
      </c>
      <c r="AQ52" s="196">
        <v>34.059016499999998</v>
      </c>
      <c r="AR52" s="196">
        <v>34.556463948000001</v>
      </c>
      <c r="AS52" s="196">
        <v>35.231461283999998</v>
      </c>
      <c r="AT52" s="196">
        <v>35.906458620000002</v>
      </c>
      <c r="AU52" s="196">
        <v>36.581455955999999</v>
      </c>
      <c r="AV52" s="196">
        <v>36.701050686000002</v>
      </c>
      <c r="AW52" s="196">
        <v>36.719663124</v>
      </c>
      <c r="AX52" s="196">
        <v>36.738275561999998</v>
      </c>
      <c r="AY52" s="196">
        <v>36.756887999999996</v>
      </c>
      <c r="AZ52" s="196">
        <v>36.759259667999999</v>
      </c>
      <c r="BA52" s="196">
        <v>36.761631336000001</v>
      </c>
      <c r="BB52" s="196">
        <v>36.764003004000003</v>
      </c>
      <c r="BC52" s="196">
        <v>36.794802959999998</v>
      </c>
      <c r="BD52" s="196">
        <v>36.981958499999998</v>
      </c>
      <c r="BE52" s="196">
        <v>37.169114039999997</v>
      </c>
      <c r="BF52" s="196">
        <v>37.356269580000003</v>
      </c>
      <c r="BG52" s="196">
        <v>37.573614311999997</v>
      </c>
      <c r="BH52" s="196">
        <v>37.858884725999999</v>
      </c>
      <c r="BI52" s="196">
        <v>38.144155140000002</v>
      </c>
      <c r="BJ52" s="196">
        <v>38.429425553999998</v>
      </c>
      <c r="BK52" s="196">
        <v>38.801289611999998</v>
      </c>
      <c r="BL52" s="196">
        <v>39.274179588000003</v>
      </c>
      <c r="BM52" s="196">
        <v>39.747069564</v>
      </c>
      <c r="BN52" s="196">
        <v>40.219959539999998</v>
      </c>
      <c r="BO52" s="196">
        <v>40.451589804000001</v>
      </c>
      <c r="BP52" s="196">
        <v>40.532432747999998</v>
      </c>
      <c r="BQ52" s="196">
        <v>40.613275692000002</v>
      </c>
      <c r="BR52" s="196">
        <v>40.694118635999999</v>
      </c>
      <c r="BS52" s="196">
        <v>41.048932860000001</v>
      </c>
      <c r="BT52" s="196">
        <v>41.485938468000001</v>
      </c>
      <c r="BU52" s="196">
        <v>41.922944076</v>
      </c>
      <c r="BV52" s="196">
        <v>42.359949684</v>
      </c>
      <c r="BW52" s="196">
        <v>42.394326972000002</v>
      </c>
      <c r="BX52" s="196">
        <v>42.395151900000002</v>
      </c>
      <c r="BY52" s="196">
        <v>42.395976828000002</v>
      </c>
      <c r="BZ52" s="196">
        <v>42.527374373999997</v>
      </c>
      <c r="CA52" s="196">
        <v>44.225643335999997</v>
      </c>
      <c r="CB52" s="196">
        <v>45.923912297999998</v>
      </c>
      <c r="CC52" s="196">
        <v>47.622181259999998</v>
      </c>
      <c r="CD52" s="196">
        <v>49.060966739999998</v>
      </c>
      <c r="CE52" s="196">
        <v>49.634807279999997</v>
      </c>
      <c r="CF52" s="196">
        <v>50.208647820000003</v>
      </c>
      <c r="CG52" s="196">
        <v>50.782488360000002</v>
      </c>
      <c r="CH52" s="196">
        <v>51.310918200000003</v>
      </c>
      <c r="CI52" s="196">
        <v>51.766690920000002</v>
      </c>
      <c r="CJ52" s="196">
        <v>52.222463640000001</v>
      </c>
      <c r="CK52" s="196">
        <v>52.67823636</v>
      </c>
      <c r="CL52" s="196">
        <v>53.417459100000002</v>
      </c>
      <c r="CM52" s="196">
        <v>54.399639000000001</v>
      </c>
      <c r="CN52" s="196">
        <v>55.381818899999999</v>
      </c>
      <c r="CO52" s="196">
        <v>56.363998799999997</v>
      </c>
      <c r="CP52" s="196">
        <v>58.638301499999997</v>
      </c>
      <c r="CQ52" s="196">
        <v>61.486880999999997</v>
      </c>
      <c r="CR52" s="196">
        <v>64.335460499999996</v>
      </c>
      <c r="CS52" s="196">
        <v>67.184039999999996</v>
      </c>
      <c r="CT52" s="196">
        <v>67.668526560000004</v>
      </c>
      <c r="CU52" s="196">
        <v>67.723178039999993</v>
      </c>
      <c r="CV52" s="196">
        <v>67.777829519999997</v>
      </c>
      <c r="CW52" s="196">
        <v>67.832481000000001</v>
      </c>
    </row>
    <row r="53" spans="1:103">
      <c r="A53" t="s">
        <v>155</v>
      </c>
      <c r="B53" s="196">
        <v>16.810358988000001</v>
      </c>
      <c r="C53" s="196">
        <v>16.974622776</v>
      </c>
      <c r="D53" s="196">
        <v>17.138886564</v>
      </c>
      <c r="E53" s="196">
        <v>17.300691432000001</v>
      </c>
      <c r="F53" s="196">
        <v>17.44897224</v>
      </c>
      <c r="G53" s="196">
        <v>17.597253047999999</v>
      </c>
      <c r="H53" s="196">
        <v>17.745533856000002</v>
      </c>
      <c r="I53" s="196">
        <v>17.934632736000001</v>
      </c>
      <c r="J53" s="196">
        <v>18.215572278</v>
      </c>
      <c r="K53" s="196">
        <v>18.496511819999998</v>
      </c>
      <c r="L53" s="196">
        <v>18.777451362000001</v>
      </c>
      <c r="M53" s="196">
        <v>18.975866375999999</v>
      </c>
      <c r="N53" s="196">
        <v>19.078002774000002</v>
      </c>
      <c r="O53" s="196">
        <v>19.180139172000001</v>
      </c>
      <c r="P53" s="196">
        <v>19.282275569999999</v>
      </c>
      <c r="Q53" s="196">
        <v>19.550032128000002</v>
      </c>
      <c r="R53" s="196">
        <v>19.921301285999998</v>
      </c>
      <c r="S53" s="196">
        <v>20.292570443999999</v>
      </c>
      <c r="T53" s="196">
        <v>20.663839601999999</v>
      </c>
      <c r="U53" s="196">
        <v>21.296388839999999</v>
      </c>
      <c r="V53" s="196">
        <v>22.007322102</v>
      </c>
      <c r="W53" s="196">
        <v>22.718255364000001</v>
      </c>
      <c r="X53" s="196">
        <v>23.429188625999998</v>
      </c>
      <c r="Y53" s="196">
        <v>24.121037496</v>
      </c>
      <c r="Z53" s="196">
        <v>24.811295999999999</v>
      </c>
      <c r="AA53" s="196">
        <v>25.501554504000001</v>
      </c>
      <c r="AB53" s="196">
        <v>26.144566050000002</v>
      </c>
      <c r="AC53" s="196">
        <v>26.220614099999999</v>
      </c>
      <c r="AD53" s="196">
        <v>26.29666215</v>
      </c>
      <c r="AE53" s="196">
        <v>26.3727102</v>
      </c>
      <c r="AF53" s="196">
        <v>26.504012562</v>
      </c>
      <c r="AG53" s="196">
        <v>26.819495964000001</v>
      </c>
      <c r="AH53" s="196">
        <v>27.134979366</v>
      </c>
      <c r="AI53" s="196">
        <v>27.450462768000001</v>
      </c>
      <c r="AJ53" s="196">
        <v>27.668699849999999</v>
      </c>
      <c r="AK53" s="196">
        <v>27.731342819999998</v>
      </c>
      <c r="AL53" s="196">
        <v>27.793985790000001</v>
      </c>
      <c r="AM53" s="196">
        <v>27.85662876</v>
      </c>
      <c r="AN53" s="196">
        <v>28.139785295999999</v>
      </c>
      <c r="AO53" s="196">
        <v>28.611953459999999</v>
      </c>
      <c r="AP53" s="196">
        <v>29.084121624000002</v>
      </c>
      <c r="AQ53" s="196">
        <v>29.556289788000001</v>
      </c>
      <c r="AR53" s="196">
        <v>29.726879346</v>
      </c>
      <c r="AS53" s="196">
        <v>29.763433968000001</v>
      </c>
      <c r="AT53" s="196">
        <v>29.799988590000002</v>
      </c>
      <c r="AU53" s="196">
        <v>29.836543211999999</v>
      </c>
      <c r="AV53" s="196">
        <v>29.880557880000001</v>
      </c>
      <c r="AW53" s="196">
        <v>29.92592892</v>
      </c>
      <c r="AX53" s="196">
        <v>29.97129996</v>
      </c>
      <c r="AY53" s="196">
        <v>30.016670999999999</v>
      </c>
      <c r="AZ53" s="196">
        <v>30.216458249999999</v>
      </c>
      <c r="BA53" s="196">
        <v>30.416245499999999</v>
      </c>
      <c r="BB53" s="196">
        <v>30.616032749999999</v>
      </c>
      <c r="BC53" s="196">
        <v>30.901453872000001</v>
      </c>
      <c r="BD53" s="196">
        <v>31.65786129</v>
      </c>
      <c r="BE53" s="196">
        <v>32.414268708000002</v>
      </c>
      <c r="BF53" s="196">
        <v>33.170676125999996</v>
      </c>
      <c r="BG53" s="196">
        <v>33.713173368</v>
      </c>
      <c r="BH53" s="196">
        <v>33.774372714000002</v>
      </c>
      <c r="BI53" s="196">
        <v>33.835572059999997</v>
      </c>
      <c r="BJ53" s="196">
        <v>33.896771405999999</v>
      </c>
      <c r="BK53" s="196">
        <v>33.941599103999998</v>
      </c>
      <c r="BL53" s="196">
        <v>33.967326546000002</v>
      </c>
      <c r="BM53" s="196">
        <v>33.993053988</v>
      </c>
      <c r="BN53" s="196">
        <v>34.018781429999997</v>
      </c>
      <c r="BO53" s="196">
        <v>34.43622276</v>
      </c>
      <c r="BP53" s="196">
        <v>35.098485269999998</v>
      </c>
      <c r="BQ53" s="196">
        <v>35.760747780000003</v>
      </c>
      <c r="BR53" s="196">
        <v>36.423010290000001</v>
      </c>
      <c r="BS53" s="196">
        <v>36.871941659999997</v>
      </c>
      <c r="BT53" s="196">
        <v>37.256873687999999</v>
      </c>
      <c r="BU53" s="196">
        <v>37.641805716</v>
      </c>
      <c r="BV53" s="196">
        <v>38.026737744000002</v>
      </c>
      <c r="BW53" s="196">
        <v>38.500952364</v>
      </c>
      <c r="BX53" s="196">
        <v>38.982607199999997</v>
      </c>
      <c r="BY53" s="196">
        <v>39.464262036000001</v>
      </c>
      <c r="BZ53" s="196">
        <v>40.459470246000002</v>
      </c>
      <c r="CA53" s="196">
        <v>47.617318943999997</v>
      </c>
      <c r="CB53" s="196">
        <v>54.775167642</v>
      </c>
      <c r="CC53" s="196">
        <v>61.933016340000002</v>
      </c>
      <c r="CD53" s="196">
        <v>70.696880874000101</v>
      </c>
      <c r="CE53" s="196">
        <v>84.814131528000004</v>
      </c>
      <c r="CF53" s="196">
        <v>98.931382182000107</v>
      </c>
      <c r="CG53" s="196">
        <v>113.048632836</v>
      </c>
      <c r="CH53" s="196">
        <v>124.90700853</v>
      </c>
      <c r="CI53" s="196">
        <v>133.151184288</v>
      </c>
      <c r="CJ53" s="196">
        <v>141.39536004600001</v>
      </c>
      <c r="CK53" s="196">
        <v>149.63953580399999</v>
      </c>
      <c r="CL53" s="196">
        <v>157.902312102</v>
      </c>
      <c r="CM53" s="196">
        <v>166.18103171999999</v>
      </c>
      <c r="CN53" s="196">
        <v>174.45975133799999</v>
      </c>
      <c r="CO53" s="196">
        <v>182.73847095599999</v>
      </c>
      <c r="CP53" s="196">
        <v>196.92376230599999</v>
      </c>
      <c r="CQ53" s="196">
        <v>213.73419664799999</v>
      </c>
      <c r="CR53" s="196">
        <v>230.54463099</v>
      </c>
      <c r="CS53" s="196">
        <v>247.35506533200001</v>
      </c>
      <c r="CT53" s="196">
        <v>260.21782655999999</v>
      </c>
      <c r="CU53" s="196">
        <v>272.36282904000001</v>
      </c>
      <c r="CV53" s="196">
        <v>284.50783152000002</v>
      </c>
      <c r="CW53" s="196">
        <v>296.65283399999998</v>
      </c>
    </row>
    <row r="54" spans="1:103">
      <c r="A54" t="s">
        <v>138</v>
      </c>
      <c r="B54" s="197">
        <v>0.78917014740000002</v>
      </c>
      <c r="C54" s="197">
        <v>0.80181732480000001</v>
      </c>
      <c r="D54" s="197">
        <v>0.8144645022</v>
      </c>
      <c r="E54" s="197">
        <v>0.84235936320000004</v>
      </c>
      <c r="F54" s="197">
        <v>0.95411648400000004</v>
      </c>
      <c r="G54" s="197">
        <v>1.0658736047999999</v>
      </c>
      <c r="H54" s="197">
        <v>1.1776307256</v>
      </c>
      <c r="I54" s="197">
        <v>1.2556784327999999</v>
      </c>
      <c r="J54" s="197">
        <v>1.2578799594000001</v>
      </c>
      <c r="K54" s="197">
        <v>1.260081486</v>
      </c>
      <c r="L54" s="197">
        <v>1.2622830126</v>
      </c>
      <c r="M54" s="197">
        <v>1.2813392459999999</v>
      </c>
      <c r="N54" s="197">
        <v>1.3200593039999999</v>
      </c>
      <c r="O54" s="197">
        <v>1.3587793619999999</v>
      </c>
      <c r="P54" s="197">
        <v>1.3974994199999999</v>
      </c>
      <c r="Q54" s="197">
        <v>1.4231411964</v>
      </c>
      <c r="R54" s="197">
        <v>1.4406090467999999</v>
      </c>
      <c r="S54" s="197">
        <v>1.4580768972</v>
      </c>
      <c r="T54" s="197">
        <v>1.4755447476000001</v>
      </c>
      <c r="U54" s="197">
        <v>1.5093366539999999</v>
      </c>
      <c r="V54" s="197">
        <v>1.5480257771999999</v>
      </c>
      <c r="W54" s="197">
        <v>1.5867149004000001</v>
      </c>
      <c r="X54" s="197">
        <v>1.6254040236</v>
      </c>
      <c r="Y54" s="197">
        <v>1.6445756676000001</v>
      </c>
      <c r="Z54" s="197">
        <v>1.662120855</v>
      </c>
      <c r="AA54" s="197">
        <v>1.6796660424000001</v>
      </c>
      <c r="AB54" s="197">
        <v>1.6959559907999999</v>
      </c>
      <c r="AC54" s="197">
        <v>1.6971830712</v>
      </c>
      <c r="AD54" s="197">
        <v>1.6984101516000001</v>
      </c>
      <c r="AE54" s="197">
        <v>1.6996372319999999</v>
      </c>
      <c r="AF54" s="197">
        <v>1.7009642556</v>
      </c>
      <c r="AG54" s="197">
        <v>1.7026244232000001</v>
      </c>
      <c r="AH54" s="197">
        <v>1.7042845907999999</v>
      </c>
      <c r="AI54" s="197">
        <v>1.7059447584</v>
      </c>
      <c r="AJ54" s="197">
        <v>1.723288473</v>
      </c>
      <c r="AK54" s="197">
        <v>1.7657258628000001</v>
      </c>
      <c r="AL54" s="197">
        <v>1.8081632526</v>
      </c>
      <c r="AM54" s="197">
        <v>1.8506006424000001</v>
      </c>
      <c r="AN54" s="197">
        <v>1.8821830902000001</v>
      </c>
      <c r="AO54" s="197">
        <v>1.9044613020000001</v>
      </c>
      <c r="AP54" s="197">
        <v>1.9267395138000001</v>
      </c>
      <c r="AQ54" s="197">
        <v>1.9490177256000001</v>
      </c>
      <c r="AR54" s="197">
        <v>1.9613123256</v>
      </c>
      <c r="AS54" s="197">
        <v>1.9691697647999999</v>
      </c>
      <c r="AT54" s="197">
        <v>1.9770272040000001</v>
      </c>
      <c r="AU54" s="197">
        <v>1.9848846432</v>
      </c>
      <c r="AV54" s="197">
        <v>2.0111522543999998</v>
      </c>
      <c r="AW54" s="197">
        <v>2.0407671696</v>
      </c>
      <c r="AX54" s="197">
        <v>2.0703820847999999</v>
      </c>
      <c r="AY54" s="197">
        <v>2.0999970000000001</v>
      </c>
      <c r="AZ54" s="197">
        <v>2.1051373326</v>
      </c>
      <c r="BA54" s="197">
        <v>2.1102776651999999</v>
      </c>
      <c r="BB54" s="197">
        <v>2.1154179977999998</v>
      </c>
      <c r="BC54" s="197">
        <v>2.1252620063999998</v>
      </c>
      <c r="BD54" s="197">
        <v>2.160976233</v>
      </c>
      <c r="BE54" s="197">
        <v>2.1966904596000001</v>
      </c>
      <c r="BF54" s="197">
        <v>2.2324046862000002</v>
      </c>
      <c r="BG54" s="197">
        <v>2.2597728624000002</v>
      </c>
      <c r="BH54" s="197">
        <v>2.2683624251999999</v>
      </c>
      <c r="BI54" s="197">
        <v>2.276951988</v>
      </c>
      <c r="BJ54" s="197">
        <v>2.2855415508000001</v>
      </c>
      <c r="BK54" s="197">
        <v>2.3268767892</v>
      </c>
      <c r="BL54" s="197">
        <v>2.4064153157999999</v>
      </c>
      <c r="BM54" s="197">
        <v>2.4859538423999998</v>
      </c>
      <c r="BN54" s="197">
        <v>2.5654923690000002</v>
      </c>
      <c r="BO54" s="197">
        <v>2.6252008955999999</v>
      </c>
      <c r="BP54" s="197">
        <v>2.6725156721999999</v>
      </c>
      <c r="BQ54" s="197">
        <v>2.7198304487999998</v>
      </c>
      <c r="BR54" s="197">
        <v>2.7671452254000002</v>
      </c>
      <c r="BS54" s="197">
        <v>2.805413556</v>
      </c>
      <c r="BT54" s="197">
        <v>2.8409679527999998</v>
      </c>
      <c r="BU54" s="197">
        <v>2.8765223496000001</v>
      </c>
      <c r="BV54" s="197">
        <v>2.9120767463999999</v>
      </c>
      <c r="BW54" s="197">
        <v>3.1341917831999999</v>
      </c>
      <c r="BX54" s="197">
        <v>3.37185354</v>
      </c>
      <c r="BY54" s="197">
        <v>3.6095152968000002</v>
      </c>
      <c r="BZ54" s="197">
        <v>3.8323033637999999</v>
      </c>
      <c r="CA54" s="197">
        <v>3.8766071532000002</v>
      </c>
      <c r="CB54" s="197">
        <v>3.9209109425999999</v>
      </c>
      <c r="CC54" s="197">
        <v>3.9652147320000002</v>
      </c>
      <c r="CD54" s="197">
        <v>4.0055065157999996</v>
      </c>
      <c r="CE54" s="197">
        <v>4.0324249476</v>
      </c>
      <c r="CF54" s="197">
        <v>4.0593433793999996</v>
      </c>
      <c r="CG54" s="197">
        <v>4.0862618112</v>
      </c>
      <c r="CH54" s="197">
        <v>4.1474782110000001</v>
      </c>
      <c r="CI54" s="197">
        <v>4.2635713596000002</v>
      </c>
      <c r="CJ54" s="197">
        <v>4.3796645082000003</v>
      </c>
      <c r="CK54" s="197">
        <v>4.4957576568000004</v>
      </c>
      <c r="CL54" s="197">
        <v>4.8452070726000001</v>
      </c>
      <c r="CM54" s="197">
        <v>5.3946761460000099</v>
      </c>
      <c r="CN54" s="197">
        <v>5.9441452194000002</v>
      </c>
      <c r="CO54" s="197">
        <v>6.4936142928000002</v>
      </c>
      <c r="CP54" s="197">
        <v>6.8069211540000003</v>
      </c>
      <c r="CQ54" s="197">
        <v>7.0152670319999997</v>
      </c>
      <c r="CR54" s="197">
        <v>7.2236129099999999</v>
      </c>
      <c r="CS54" s="197">
        <v>7.4319587880000002</v>
      </c>
      <c r="CT54" s="197">
        <v>7.6602417479999998</v>
      </c>
      <c r="CU54" s="197">
        <v>7.8921496319999997</v>
      </c>
      <c r="CV54" s="197">
        <v>8.1240575160000006</v>
      </c>
      <c r="CW54" s="197">
        <v>8.3559654000000005</v>
      </c>
    </row>
    <row r="55" spans="1:103">
      <c r="A55" t="s">
        <v>211</v>
      </c>
      <c r="B55" s="196">
        <v>11.363525976</v>
      </c>
      <c r="C55" s="196">
        <v>11.552846951999999</v>
      </c>
      <c r="D55" s="196">
        <v>11.742167928000001</v>
      </c>
      <c r="E55" s="196">
        <v>12.109490916</v>
      </c>
      <c r="F55" s="196">
        <v>13.45582497</v>
      </c>
      <c r="G55" s="196">
        <v>14.802159024</v>
      </c>
      <c r="H55" s="196">
        <v>16.148493078000001</v>
      </c>
      <c r="I55" s="196">
        <v>17.143360212000001</v>
      </c>
      <c r="J55" s="196">
        <v>17.347426775999999</v>
      </c>
      <c r="K55" s="196">
        <v>17.55149334</v>
      </c>
      <c r="L55" s="196">
        <v>17.755559903999998</v>
      </c>
      <c r="M55" s="196">
        <v>17.875721771999999</v>
      </c>
      <c r="N55" s="196">
        <v>17.897994828000002</v>
      </c>
      <c r="O55" s="196">
        <v>17.920267884000001</v>
      </c>
      <c r="P55" s="196">
        <v>17.942540940000001</v>
      </c>
      <c r="Q55" s="196">
        <v>18.182499803999999</v>
      </c>
      <c r="R55" s="196">
        <v>18.558512298</v>
      </c>
      <c r="S55" s="196">
        <v>18.934524792000001</v>
      </c>
      <c r="T55" s="196">
        <v>19.310537285999999</v>
      </c>
      <c r="U55" s="196">
        <v>19.57066326</v>
      </c>
      <c r="V55" s="196">
        <v>19.796023278</v>
      </c>
      <c r="W55" s="196">
        <v>20.021383296</v>
      </c>
      <c r="X55" s="196">
        <v>20.246743314</v>
      </c>
      <c r="Y55" s="196">
        <v>20.367924444</v>
      </c>
      <c r="Z55" s="196">
        <v>20.480423999999999</v>
      </c>
      <c r="AA55" s="196">
        <v>20.592923555999999</v>
      </c>
      <c r="AB55" s="196">
        <v>20.720422524</v>
      </c>
      <c r="AC55" s="196">
        <v>21.027914436</v>
      </c>
      <c r="AD55" s="196">
        <v>21.335406347999999</v>
      </c>
      <c r="AE55" s="196">
        <v>21.642898259999999</v>
      </c>
      <c r="AF55" s="196">
        <v>21.916671239999999</v>
      </c>
      <c r="AG55" s="196">
        <v>22.078047779999999</v>
      </c>
      <c r="AH55" s="196">
        <v>22.239424320000001</v>
      </c>
      <c r="AI55" s="196">
        <v>22.40080086</v>
      </c>
      <c r="AJ55" s="196">
        <v>22.560273720000001</v>
      </c>
      <c r="AK55" s="196">
        <v>22.716700692</v>
      </c>
      <c r="AL55" s="196">
        <v>22.873127663999998</v>
      </c>
      <c r="AM55" s="196">
        <v>23.029554636</v>
      </c>
      <c r="AN55" s="196">
        <v>23.119547141999998</v>
      </c>
      <c r="AO55" s="196">
        <v>23.152595819999998</v>
      </c>
      <c r="AP55" s="196">
        <v>23.185644497999998</v>
      </c>
      <c r="AQ55" s="196">
        <v>23.218693175999999</v>
      </c>
      <c r="AR55" s="196">
        <v>23.236107881999999</v>
      </c>
      <c r="AS55" s="196">
        <v>23.246574156000001</v>
      </c>
      <c r="AT55" s="196">
        <v>23.25704043</v>
      </c>
      <c r="AU55" s="196">
        <v>23.267506703999999</v>
      </c>
      <c r="AV55" s="196">
        <v>23.576723825999998</v>
      </c>
      <c r="AW55" s="196">
        <v>23.940259284</v>
      </c>
      <c r="AX55" s="196">
        <v>24.303794742000001</v>
      </c>
      <c r="AY55" s="196">
        <v>24.667330199999999</v>
      </c>
      <c r="AZ55" s="196">
        <v>24.719558454000001</v>
      </c>
      <c r="BA55" s="196">
        <v>24.771786708</v>
      </c>
      <c r="BB55" s="196">
        <v>24.824014962</v>
      </c>
      <c r="BC55" s="196">
        <v>24.873990528</v>
      </c>
      <c r="BD55" s="196">
        <v>24.911576310000001</v>
      </c>
      <c r="BE55" s="196">
        <v>24.949162092000002</v>
      </c>
      <c r="BF55" s="196">
        <v>24.986747873999999</v>
      </c>
      <c r="BG55" s="196">
        <v>25.014148968000001</v>
      </c>
      <c r="BH55" s="196">
        <v>25.018634513999999</v>
      </c>
      <c r="BI55" s="196">
        <v>25.02312006</v>
      </c>
      <c r="BJ55" s="196">
        <v>25.027605606000002</v>
      </c>
      <c r="BK55" s="196">
        <v>25.048082063999999</v>
      </c>
      <c r="BL55" s="196">
        <v>25.087214586000002</v>
      </c>
      <c r="BM55" s="196">
        <v>25.126347108000001</v>
      </c>
      <c r="BN55" s="196">
        <v>25.16547963</v>
      </c>
      <c r="BO55" s="196">
        <v>25.280664168000001</v>
      </c>
      <c r="BP55" s="196">
        <v>25.443381215999999</v>
      </c>
      <c r="BQ55" s="196">
        <v>25.606098264</v>
      </c>
      <c r="BR55" s="196">
        <v>25.768815312000001</v>
      </c>
      <c r="BS55" s="196">
        <v>25.8936174</v>
      </c>
      <c r="BT55" s="196">
        <v>26.007045000000002</v>
      </c>
      <c r="BU55" s="196">
        <v>26.120472599999999</v>
      </c>
      <c r="BV55" s="196">
        <v>26.233900200000001</v>
      </c>
      <c r="BW55" s="196">
        <v>26.349754992000001</v>
      </c>
      <c r="BX55" s="196">
        <v>26.46581205</v>
      </c>
      <c r="BY55" s="196">
        <v>26.581869107999999</v>
      </c>
      <c r="BZ55" s="196">
        <v>26.697160728</v>
      </c>
      <c r="CA55" s="196">
        <v>26.803267091999999</v>
      </c>
      <c r="CB55" s="196">
        <v>26.909373456000001</v>
      </c>
      <c r="CC55" s="196">
        <v>27.015479819999999</v>
      </c>
      <c r="CD55" s="196">
        <v>27.208144134000001</v>
      </c>
      <c r="CE55" s="196">
        <v>27.689334947999999</v>
      </c>
      <c r="CF55" s="196">
        <v>28.170525762</v>
      </c>
      <c r="CG55" s="196">
        <v>28.651716575999998</v>
      </c>
      <c r="CH55" s="196">
        <v>29.04993867</v>
      </c>
      <c r="CI55" s="196">
        <v>29.315410812</v>
      </c>
      <c r="CJ55" s="196">
        <v>29.580882954</v>
      </c>
      <c r="CK55" s="196">
        <v>29.846355096</v>
      </c>
      <c r="CL55" s="196">
        <v>30.069989904</v>
      </c>
      <c r="CM55" s="196">
        <v>30.257764139999999</v>
      </c>
      <c r="CN55" s="196">
        <v>30.445538375999998</v>
      </c>
      <c r="CO55" s="196">
        <v>30.633312612000001</v>
      </c>
      <c r="CP55" s="196">
        <v>30.892332071999999</v>
      </c>
      <c r="CQ55" s="196">
        <v>31.183016076000001</v>
      </c>
      <c r="CR55" s="196">
        <v>31.47370008</v>
      </c>
      <c r="CS55" s="196">
        <v>31.764384084</v>
      </c>
      <c r="CT55" s="196">
        <v>32.747063699999998</v>
      </c>
      <c r="CU55" s="196">
        <v>33.855560699999998</v>
      </c>
      <c r="CV55" s="196">
        <v>34.964057699999998</v>
      </c>
      <c r="CW55" s="196">
        <v>36.072554699999998</v>
      </c>
    </row>
    <row r="56" spans="1:103">
      <c r="A56" t="s">
        <v>212</v>
      </c>
      <c r="B56" s="196">
        <v>8.6902714379999999</v>
      </c>
      <c r="C56" s="196">
        <v>8.8816031760000005</v>
      </c>
      <c r="D56" s="196">
        <v>9.0729349139999993</v>
      </c>
      <c r="E56" s="196">
        <v>9.3353453040000005</v>
      </c>
      <c r="F56" s="196">
        <v>9.9886882799999999</v>
      </c>
      <c r="G56" s="196">
        <v>10.642031255999999</v>
      </c>
      <c r="H56" s="196">
        <v>11.295374232</v>
      </c>
      <c r="I56" s="196">
        <v>11.83406808</v>
      </c>
      <c r="J56" s="196">
        <v>12.11480139</v>
      </c>
      <c r="K56" s="196">
        <v>12.395534700000001</v>
      </c>
      <c r="L56" s="196">
        <v>12.676268009999999</v>
      </c>
      <c r="M56" s="196">
        <v>12.953503308</v>
      </c>
      <c r="N56" s="196">
        <v>13.226657592</v>
      </c>
      <c r="O56" s="196">
        <v>13.499811876000001</v>
      </c>
      <c r="P56" s="196">
        <v>13.772966159999999</v>
      </c>
      <c r="Q56" s="196">
        <v>13.879802268000001</v>
      </c>
      <c r="R56" s="196">
        <v>13.882689515999999</v>
      </c>
      <c r="S56" s="196">
        <v>13.885576764</v>
      </c>
      <c r="T56" s="196">
        <v>13.888464012</v>
      </c>
      <c r="U56" s="196">
        <v>13.995657059999999</v>
      </c>
      <c r="V56" s="196">
        <v>14.134141848000001</v>
      </c>
      <c r="W56" s="196">
        <v>14.272626636</v>
      </c>
      <c r="X56" s="196">
        <v>14.411111424</v>
      </c>
      <c r="Y56" s="196">
        <v>14.450890404000001</v>
      </c>
      <c r="Z56" s="196">
        <v>14.4824439</v>
      </c>
      <c r="AA56" s="196">
        <v>14.513997396000001</v>
      </c>
      <c r="AB56" s="196">
        <v>14.544357126</v>
      </c>
      <c r="AC56" s="196">
        <v>14.560391664000001</v>
      </c>
      <c r="AD56" s="196">
        <v>14.576426202</v>
      </c>
      <c r="AE56" s="196">
        <v>14.59246074</v>
      </c>
      <c r="AF56" s="196">
        <v>14.60741256</v>
      </c>
      <c r="AG56" s="196">
        <v>14.61875532</v>
      </c>
      <c r="AH56" s="196">
        <v>14.63009808</v>
      </c>
      <c r="AI56" s="196">
        <v>14.64144084</v>
      </c>
      <c r="AJ56" s="196">
        <v>14.66910369</v>
      </c>
      <c r="AK56" s="196">
        <v>14.722878683999999</v>
      </c>
      <c r="AL56" s="196">
        <v>14.776653678000001</v>
      </c>
      <c r="AM56" s="196">
        <v>14.830428672</v>
      </c>
      <c r="AN56" s="196">
        <v>14.929122582</v>
      </c>
      <c r="AO56" s="196">
        <v>15.06631842</v>
      </c>
      <c r="AP56" s="196">
        <v>15.203514258</v>
      </c>
      <c r="AQ56" s="196">
        <v>15.340710096</v>
      </c>
      <c r="AR56" s="196">
        <v>15.402413124000001</v>
      </c>
      <c r="AS56" s="196">
        <v>15.430563791999999</v>
      </c>
      <c r="AT56" s="196">
        <v>15.458714459999999</v>
      </c>
      <c r="AU56" s="196">
        <v>15.486865128</v>
      </c>
      <c r="AV56" s="196">
        <v>15.655971402</v>
      </c>
      <c r="AW56" s="196">
        <v>15.850705968</v>
      </c>
      <c r="AX56" s="196">
        <v>16.045440534000001</v>
      </c>
      <c r="AY56" s="196">
        <v>16.240175099999998</v>
      </c>
      <c r="AZ56" s="196">
        <v>16.403974865999999</v>
      </c>
      <c r="BA56" s="196">
        <v>16.567774631999999</v>
      </c>
      <c r="BB56" s="196">
        <v>16.731574397999999</v>
      </c>
      <c r="BC56" s="196">
        <v>16.889694852000002</v>
      </c>
      <c r="BD56" s="196">
        <v>17.01657909</v>
      </c>
      <c r="BE56" s="196">
        <v>17.143463327999999</v>
      </c>
      <c r="BF56" s="196">
        <v>17.270347566000002</v>
      </c>
      <c r="BG56" s="196">
        <v>17.45805438</v>
      </c>
      <c r="BH56" s="196">
        <v>17.782611989999999</v>
      </c>
      <c r="BI56" s="196">
        <v>18.107169599999999</v>
      </c>
      <c r="BJ56" s="196">
        <v>18.431727209999998</v>
      </c>
      <c r="BK56" s="196">
        <v>18.616935443999999</v>
      </c>
      <c r="BL56" s="196">
        <v>18.639569406</v>
      </c>
      <c r="BM56" s="196">
        <v>18.662203368</v>
      </c>
      <c r="BN56" s="196">
        <v>18.684837330000001</v>
      </c>
      <c r="BO56" s="196">
        <v>18.754365276000001</v>
      </c>
      <c r="BP56" s="196">
        <v>18.853201962</v>
      </c>
      <c r="BQ56" s="196">
        <v>18.952038647999998</v>
      </c>
      <c r="BR56" s="196">
        <v>19.050875334000001</v>
      </c>
      <c r="BS56" s="196">
        <v>19.19825586</v>
      </c>
      <c r="BT56" s="196">
        <v>19.360199538</v>
      </c>
      <c r="BU56" s="196">
        <v>19.522143216</v>
      </c>
      <c r="BV56" s="196">
        <v>19.684086894</v>
      </c>
      <c r="BW56" s="196">
        <v>19.706014908</v>
      </c>
      <c r="BX56" s="196">
        <v>19.716274949999999</v>
      </c>
      <c r="BY56" s="196">
        <v>19.726534992000001</v>
      </c>
      <c r="BZ56" s="196">
        <v>19.746055643999998</v>
      </c>
      <c r="CA56" s="196">
        <v>19.876703616</v>
      </c>
      <c r="CB56" s="196">
        <v>20.007351587999999</v>
      </c>
      <c r="CC56" s="196">
        <v>20.137999560000001</v>
      </c>
      <c r="CD56" s="196">
        <v>20.23861698</v>
      </c>
      <c r="CE56" s="196">
        <v>20.239132560000002</v>
      </c>
      <c r="CF56" s="196">
        <v>20.23964814</v>
      </c>
      <c r="CG56" s="196">
        <v>20.240163720000002</v>
      </c>
      <c r="CH56" s="196">
        <v>20.490953730000001</v>
      </c>
      <c r="CI56" s="196">
        <v>21.142182827999999</v>
      </c>
      <c r="CJ56" s="196">
        <v>21.793411926000001</v>
      </c>
      <c r="CK56" s="196">
        <v>22.444641023999999</v>
      </c>
      <c r="CL56" s="196">
        <v>22.759228109999999</v>
      </c>
      <c r="CM56" s="196">
        <v>22.785264900000001</v>
      </c>
      <c r="CN56" s="196">
        <v>22.811301690000001</v>
      </c>
      <c r="CO56" s="196">
        <v>22.83733848</v>
      </c>
      <c r="CP56" s="196">
        <v>23.190689249999998</v>
      </c>
      <c r="CQ56" s="196">
        <v>23.6895129</v>
      </c>
      <c r="CR56" s="196">
        <v>24.188336549999999</v>
      </c>
      <c r="CS56" s="196">
        <v>24.687160200000001</v>
      </c>
      <c r="CT56" s="196">
        <v>25.188296028</v>
      </c>
      <c r="CU56" s="196">
        <v>25.689852252000001</v>
      </c>
      <c r="CV56" s="196">
        <v>26.191408475999999</v>
      </c>
      <c r="CW56" s="196">
        <v>26.692964700000001</v>
      </c>
    </row>
    <row r="57" spans="1:103">
      <c r="A57" t="s">
        <v>213</v>
      </c>
      <c r="B57" s="196">
        <v>24.04952655</v>
      </c>
      <c r="C57" s="196">
        <v>25.7074137</v>
      </c>
      <c r="D57" s="196">
        <v>27.365300850000001</v>
      </c>
      <c r="E57" s="196">
        <v>29.023188000000001</v>
      </c>
      <c r="F57" s="196">
        <v>29.719568025000001</v>
      </c>
      <c r="G57" s="196">
        <v>30.415948050000001</v>
      </c>
      <c r="H57" s="196">
        <v>31.112328075000001</v>
      </c>
      <c r="I57" s="196">
        <v>31.8087081</v>
      </c>
      <c r="J57" s="196">
        <v>32.664471749999997</v>
      </c>
      <c r="K57" s="196">
        <v>33.520235399999997</v>
      </c>
      <c r="L57" s="196">
        <v>34.375999049999997</v>
      </c>
      <c r="M57" s="196">
        <v>35.231762699999997</v>
      </c>
      <c r="N57" s="196">
        <v>35.240934074999998</v>
      </c>
      <c r="O57" s="196">
        <v>35.25010545</v>
      </c>
      <c r="P57" s="196">
        <v>35.259276825000001</v>
      </c>
      <c r="Q57" s="196">
        <v>35.268448200000002</v>
      </c>
      <c r="R57" s="196">
        <v>35.673128925</v>
      </c>
      <c r="S57" s="196">
        <v>36.077809649999999</v>
      </c>
      <c r="T57" s="196">
        <v>36.482490374999998</v>
      </c>
      <c r="U57" s="196">
        <v>36.887171100000003</v>
      </c>
      <c r="V57" s="196">
        <v>37.729152900000003</v>
      </c>
      <c r="W57" s="196">
        <v>38.571134700000002</v>
      </c>
      <c r="X57" s="196">
        <v>39.413116500000001</v>
      </c>
      <c r="Y57" s="196">
        <v>40.2550983</v>
      </c>
      <c r="Z57" s="196">
        <v>40.298079825000002</v>
      </c>
      <c r="AA57" s="196">
        <v>40.341061349999997</v>
      </c>
      <c r="AB57" s="196">
        <v>40.384042874999999</v>
      </c>
      <c r="AC57" s="196">
        <v>40.427024400000001</v>
      </c>
      <c r="AD57" s="196">
        <v>41.472709875</v>
      </c>
      <c r="AE57" s="196">
        <v>42.518395349999999</v>
      </c>
      <c r="AF57" s="196">
        <v>43.564080824999998</v>
      </c>
      <c r="AG57" s="196">
        <v>44.609766299999997</v>
      </c>
      <c r="AH57" s="196">
        <v>44.851692300000003</v>
      </c>
      <c r="AI57" s="196">
        <v>45.093618300000003</v>
      </c>
      <c r="AJ57" s="196">
        <v>45.335544300000002</v>
      </c>
      <c r="AK57" s="196">
        <v>45.577470300000002</v>
      </c>
      <c r="AL57" s="196">
        <v>45.863716349999997</v>
      </c>
      <c r="AM57" s="196">
        <v>46.1499624</v>
      </c>
      <c r="AN57" s="196">
        <v>46.436208450000002</v>
      </c>
      <c r="AO57" s="196">
        <v>46.722454499999998</v>
      </c>
      <c r="AP57" s="196">
        <v>47.473168725000001</v>
      </c>
      <c r="AQ57" s="196">
        <v>48.223882949999997</v>
      </c>
      <c r="AR57" s="196">
        <v>48.974597175</v>
      </c>
      <c r="AS57" s="196">
        <v>49.725311400000002</v>
      </c>
      <c r="AT57" s="196">
        <v>49.832938724999998</v>
      </c>
      <c r="AU57" s="196">
        <v>49.940566050000001</v>
      </c>
      <c r="AV57" s="196">
        <v>50.048193374999997</v>
      </c>
      <c r="AW57" s="196">
        <v>50.1558207</v>
      </c>
      <c r="AX57" s="196">
        <v>50.442512925000003</v>
      </c>
      <c r="AY57" s="196">
        <v>50.729205149999999</v>
      </c>
      <c r="AZ57" s="196">
        <v>51.015897375000002</v>
      </c>
      <c r="BA57" s="196">
        <v>51.302589599999997</v>
      </c>
      <c r="BB57" s="196">
        <v>51.659430450000002</v>
      </c>
      <c r="BC57" s="196">
        <v>52.0162713</v>
      </c>
      <c r="BD57" s="196">
        <v>52.373112149999997</v>
      </c>
      <c r="BE57" s="196">
        <v>52.729953000000002</v>
      </c>
      <c r="BF57" s="196">
        <v>52.85200665</v>
      </c>
      <c r="BG57" s="196">
        <v>52.974060299999998</v>
      </c>
      <c r="BH57" s="196">
        <v>53.096113950000003</v>
      </c>
      <c r="BI57" s="196">
        <v>53.218167600000001</v>
      </c>
      <c r="BJ57" s="196">
        <v>53.585419199999997</v>
      </c>
      <c r="BK57" s="196">
        <v>53.9526708</v>
      </c>
      <c r="BL57" s="196">
        <v>54.319922400000003</v>
      </c>
      <c r="BM57" s="196">
        <v>54.687173999999999</v>
      </c>
      <c r="BN57" s="196">
        <v>55.940925749999998</v>
      </c>
      <c r="BO57" s="196">
        <v>57.194677499999997</v>
      </c>
      <c r="BP57" s="196">
        <v>58.448429249999997</v>
      </c>
      <c r="BQ57" s="196">
        <v>59.702181000000003</v>
      </c>
      <c r="BR57" s="196">
        <v>59.747790000000002</v>
      </c>
      <c r="BS57" s="196">
        <v>59.793399000000001</v>
      </c>
      <c r="BT57" s="196">
        <v>59.839008</v>
      </c>
      <c r="BU57" s="196">
        <v>59.884616999999999</v>
      </c>
      <c r="BV57" s="196">
        <v>62.507630249999998</v>
      </c>
      <c r="BW57" s="196">
        <v>65.130643500000005</v>
      </c>
      <c r="BX57" s="196">
        <v>67.753656750000005</v>
      </c>
      <c r="BY57" s="196">
        <v>70.376670000000004</v>
      </c>
      <c r="BZ57" s="196">
        <v>70.703864999999993</v>
      </c>
      <c r="CA57" s="196">
        <v>71.031059999999997</v>
      </c>
      <c r="CB57" s="196">
        <v>71.358255</v>
      </c>
      <c r="CC57" s="196">
        <v>71.685450000000003</v>
      </c>
      <c r="CD57" s="196">
        <v>75.441747750000005</v>
      </c>
      <c r="CE57" s="196">
        <v>79.198045500000006</v>
      </c>
      <c r="CF57" s="196">
        <v>82.954343249999994</v>
      </c>
      <c r="CG57" s="196">
        <v>86.710640999999995</v>
      </c>
      <c r="CH57" s="196">
        <v>89.733228749999995</v>
      </c>
      <c r="CI57" s="196">
        <v>92.755816499999995</v>
      </c>
      <c r="CJ57" s="196">
        <v>95.778404249999994</v>
      </c>
      <c r="CK57" s="196">
        <v>98.800991999999994</v>
      </c>
      <c r="CL57" s="196">
        <v>99.105878250000004</v>
      </c>
      <c r="CM57" s="196">
        <v>99.410764499999999</v>
      </c>
      <c r="CN57" s="196">
        <v>99.715650749999995</v>
      </c>
      <c r="CO57" s="196">
        <v>100.020537</v>
      </c>
      <c r="CP57" s="196">
        <v>102.51465525</v>
      </c>
      <c r="CQ57" s="196">
        <v>105.0087735</v>
      </c>
      <c r="CR57" s="196">
        <v>107.50289175</v>
      </c>
      <c r="CS57" s="196">
        <v>109.99701</v>
      </c>
      <c r="CT57" s="196">
        <v>121.77161782500001</v>
      </c>
      <c r="CU57" s="196">
        <v>133.54622565</v>
      </c>
      <c r="CV57" s="196">
        <v>145.320833475</v>
      </c>
      <c r="CW57" s="196">
        <v>157.0954413</v>
      </c>
    </row>
    <row r="58" spans="1:103">
      <c r="C58" s="185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  <c r="BD58" s="192"/>
      <c r="BE58" s="192"/>
      <c r="BF58" s="192"/>
      <c r="BG58" s="192"/>
      <c r="BH58" s="192"/>
      <c r="BI58" s="192"/>
      <c r="BJ58" s="192"/>
      <c r="BK58" s="192"/>
      <c r="BL58" s="192"/>
      <c r="BM58" s="192"/>
      <c r="BN58" s="192"/>
      <c r="BO58" s="192"/>
      <c r="BP58" s="192"/>
      <c r="BQ58" s="192"/>
      <c r="BR58" s="192"/>
      <c r="BS58" s="192"/>
      <c r="BT58" s="192"/>
      <c r="BU58" s="192"/>
      <c r="BV58" s="192"/>
      <c r="BW58" s="192"/>
      <c r="BX58" s="192"/>
      <c r="BY58" s="192"/>
      <c r="BZ58" s="192"/>
      <c r="CA58" s="192"/>
      <c r="CB58" s="192"/>
      <c r="CC58" s="192"/>
      <c r="CD58" s="192"/>
      <c r="CE58" s="192"/>
      <c r="CF58" s="192"/>
      <c r="CG58" s="192"/>
      <c r="CH58" s="192"/>
      <c r="CI58" s="192"/>
      <c r="CJ58" s="192"/>
      <c r="CK58" s="192"/>
      <c r="CL58" s="192"/>
      <c r="CM58" s="192"/>
      <c r="CN58" s="192"/>
      <c r="CO58" s="192"/>
      <c r="CP58" s="192"/>
      <c r="CQ58" s="192"/>
      <c r="CR58" s="192"/>
      <c r="CS58" s="192"/>
      <c r="CT58" s="192"/>
      <c r="CU58" s="192"/>
      <c r="CV58" s="192"/>
      <c r="CW58" s="192"/>
    </row>
    <row r="59" spans="1:103"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  <c r="BP59" s="192"/>
      <c r="BQ59" s="192"/>
      <c r="BR59" s="192"/>
      <c r="BS59" s="192"/>
      <c r="BT59" s="192"/>
      <c r="BU59" s="192"/>
      <c r="BV59" s="192"/>
      <c r="BW59" s="192"/>
      <c r="BX59" s="192"/>
      <c r="BY59" s="192"/>
      <c r="BZ59" s="192"/>
      <c r="CA59" s="192"/>
      <c r="CB59" s="192"/>
      <c r="CC59" s="192"/>
      <c r="CD59" s="192"/>
      <c r="CE59" s="192"/>
      <c r="CF59" s="192"/>
      <c r="CG59" s="192"/>
      <c r="CH59" s="192"/>
      <c r="CI59" s="192"/>
      <c r="CJ59" s="192"/>
      <c r="CK59" s="192"/>
      <c r="CL59" s="192"/>
      <c r="CM59" s="192"/>
      <c r="CN59" s="192"/>
      <c r="CO59" s="192"/>
      <c r="CP59" s="192"/>
      <c r="CQ59" s="192"/>
      <c r="CR59" s="192"/>
      <c r="CS59" s="192"/>
      <c r="CT59" s="192"/>
      <c r="CU59" s="192"/>
      <c r="CV59" s="192"/>
      <c r="CW59" s="192"/>
    </row>
    <row r="61" spans="1:103">
      <c r="A61" s="187" t="s">
        <v>201</v>
      </c>
      <c r="B61" s="194">
        <v>0.3</v>
      </c>
    </row>
    <row r="62" spans="1:103">
      <c r="A62" s="187" t="s">
        <v>202</v>
      </c>
      <c r="B62" s="195">
        <f>1-B61</f>
        <v>0.7</v>
      </c>
    </row>
    <row r="64" spans="1:103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E07E-9EA6-5B41-BC15-2D957686C31A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0898-5F15-469A-A5E4-AE24E5F15800}">
  <dimension ref="A1:F35"/>
  <sheetViews>
    <sheetView topLeftCell="A9" zoomScale="190" zoomScaleNormal="190" workbookViewId="0">
      <selection activeCell="C22" sqref="C22"/>
    </sheetView>
  </sheetViews>
  <sheetFormatPr defaultColWidth="8.85546875" defaultRowHeight="15"/>
  <cols>
    <col min="1" max="1" width="25.7109375" bestFit="1" customWidth="1"/>
    <col min="2" max="2" width="29.85546875" style="1" customWidth="1"/>
    <col min="3" max="3" width="9.42578125" customWidth="1"/>
    <col min="4" max="4" width="10.7109375" bestFit="1" customWidth="1"/>
    <col min="5" max="5" width="9" customWidth="1"/>
    <col min="6" max="6" width="18.7109375" bestFit="1" customWidth="1"/>
    <col min="7" max="7" width="5.85546875" bestFit="1" customWidth="1"/>
  </cols>
  <sheetData>
    <row r="1" spans="1:6">
      <c r="B1" t="s">
        <v>74</v>
      </c>
      <c r="C1" s="179" t="s">
        <v>216</v>
      </c>
      <c r="D1" s="143"/>
      <c r="E1" s="143"/>
    </row>
    <row r="2" spans="1:6">
      <c r="B2"/>
    </row>
    <row r="3" spans="1:6" ht="15.75" thickBot="1">
      <c r="A3" s="161" t="s">
        <v>230</v>
      </c>
      <c r="B3" s="144"/>
    </row>
    <row r="4" spans="1:6" ht="15.75" thickBot="1">
      <c r="A4" s="168"/>
      <c r="B4" s="217"/>
      <c r="C4" s="215" t="s">
        <v>71</v>
      </c>
      <c r="D4" s="215" t="s">
        <v>73</v>
      </c>
      <c r="E4" s="216" t="s">
        <v>72</v>
      </c>
    </row>
    <row r="5" spans="1:6" ht="15.75">
      <c r="A5" s="246" t="s">
        <v>236</v>
      </c>
      <c r="B5" s="162" t="s">
        <v>224</v>
      </c>
      <c r="C5" s="218">
        <v>11850</v>
      </c>
      <c r="D5" s="218">
        <v>324</v>
      </c>
      <c r="E5" s="219">
        <v>2150</v>
      </c>
      <c r="F5" s="222">
        <f>SUM(C5:E5)</f>
        <v>14324</v>
      </c>
    </row>
    <row r="6" spans="1:6" ht="16.5" thickBot="1">
      <c r="A6" s="247"/>
      <c r="B6" s="163" t="s">
        <v>225</v>
      </c>
      <c r="C6" s="220">
        <v>17750</v>
      </c>
      <c r="D6" s="220">
        <v>1000</v>
      </c>
      <c r="E6" s="221">
        <v>17750</v>
      </c>
      <c r="F6" s="222">
        <f>SUM(C6:E6)</f>
        <v>36500</v>
      </c>
    </row>
    <row r="7" spans="1:6" ht="15.75">
      <c r="A7" s="223"/>
      <c r="B7" s="164" t="s">
        <v>91</v>
      </c>
      <c r="C7" s="170">
        <v>35000</v>
      </c>
      <c r="D7" s="170">
        <v>4500</v>
      </c>
      <c r="E7" s="146">
        <v>35000</v>
      </c>
      <c r="F7" s="222">
        <f>SUM(C7:E7)</f>
        <v>74500</v>
      </c>
    </row>
    <row r="8" spans="1:6" ht="15.75" thickBot="1">
      <c r="A8" s="224"/>
      <c r="B8" s="163" t="s">
        <v>86</v>
      </c>
      <c r="C8" s="167">
        <v>0.47</v>
      </c>
      <c r="D8" s="167">
        <v>0.06</v>
      </c>
      <c r="E8" s="145">
        <v>0.47</v>
      </c>
      <c r="F8" s="226">
        <f>SUM(C8:E8)</f>
        <v>1</v>
      </c>
    </row>
    <row r="9" spans="1:6">
      <c r="A9" s="248" t="s">
        <v>70</v>
      </c>
      <c r="B9" s="164" t="s">
        <v>92</v>
      </c>
      <c r="C9" s="1">
        <v>275000</v>
      </c>
      <c r="D9" s="1">
        <v>125000</v>
      </c>
      <c r="E9" s="172"/>
    </row>
    <row r="10" spans="1:6">
      <c r="A10" s="248"/>
      <c r="B10" s="164" t="s">
        <v>217</v>
      </c>
      <c r="C10" s="166">
        <f>0.5</f>
        <v>0.5</v>
      </c>
      <c r="D10" s="166">
        <f>0.5</f>
        <v>0.5</v>
      </c>
      <c r="E10" s="172"/>
    </row>
    <row r="11" spans="1:6" ht="15.75" thickBot="1">
      <c r="A11" s="249"/>
      <c r="B11" s="163" t="s">
        <v>89</v>
      </c>
      <c r="C11" s="167">
        <v>0.3</v>
      </c>
      <c r="D11" s="167">
        <v>0.7</v>
      </c>
      <c r="E11" s="150"/>
    </row>
    <row r="12" spans="1:6">
      <c r="A12" s="213"/>
      <c r="B12" s="213"/>
      <c r="C12" s="166"/>
      <c r="D12" s="166"/>
      <c r="E12" s="214"/>
    </row>
    <row r="13" spans="1:6" ht="15.75" thickBot="1">
      <c r="A13" s="231" t="s">
        <v>231</v>
      </c>
    </row>
    <row r="14" spans="1:6" ht="15.75" thickBot="1">
      <c r="A14" s="168"/>
      <c r="B14" s="217"/>
      <c r="C14" s="215" t="s">
        <v>71</v>
      </c>
      <c r="D14" s="215" t="s">
        <v>73</v>
      </c>
      <c r="E14" s="216" t="s">
        <v>72</v>
      </c>
    </row>
    <row r="15" spans="1:6" ht="15.75">
      <c r="A15" s="250" t="s">
        <v>68</v>
      </c>
      <c r="B15" s="262" t="s">
        <v>232</v>
      </c>
      <c r="C15" s="218">
        <v>0.6</v>
      </c>
      <c r="D15" s="218">
        <v>324</v>
      </c>
      <c r="E15" s="219">
        <v>2150</v>
      </c>
    </row>
    <row r="16" spans="1:6" ht="15.75">
      <c r="A16" s="248"/>
      <c r="B16" s="263" t="s">
        <v>80</v>
      </c>
      <c r="C16" s="169">
        <v>17750</v>
      </c>
      <c r="D16" s="169">
        <v>1000</v>
      </c>
      <c r="E16" s="174">
        <v>17750</v>
      </c>
    </row>
    <row r="17" spans="1:5" ht="15.75">
      <c r="A17" s="248"/>
      <c r="B17" s="263" t="s">
        <v>233</v>
      </c>
      <c r="C17" s="170">
        <v>35000</v>
      </c>
      <c r="D17" s="170">
        <v>4500</v>
      </c>
      <c r="E17" s="146">
        <v>35000</v>
      </c>
    </row>
    <row r="18" spans="1:5" ht="15.75" thickBot="1">
      <c r="A18" s="249"/>
      <c r="B18" s="264" t="s">
        <v>82</v>
      </c>
      <c r="C18" s="232">
        <v>0.47</v>
      </c>
      <c r="D18" s="232">
        <v>0.06</v>
      </c>
      <c r="E18" s="145">
        <v>0.47</v>
      </c>
    </row>
    <row r="19" spans="1:5">
      <c r="A19" s="248" t="s">
        <v>70</v>
      </c>
      <c r="B19" s="153" t="s">
        <v>92</v>
      </c>
      <c r="C19" s="155">
        <v>275000</v>
      </c>
      <c r="D19" s="155">
        <v>125000</v>
      </c>
      <c r="E19" s="172"/>
    </row>
    <row r="20" spans="1:5">
      <c r="A20" s="248"/>
      <c r="B20" s="164" t="s">
        <v>217</v>
      </c>
      <c r="C20" s="166">
        <f>0.5</f>
        <v>0.5</v>
      </c>
      <c r="D20" s="166">
        <f>0.5</f>
        <v>0.5</v>
      </c>
      <c r="E20" s="172"/>
    </row>
    <row r="21" spans="1:5" ht="15.75" thickBot="1">
      <c r="A21" s="249"/>
      <c r="B21" s="163" t="s">
        <v>89</v>
      </c>
      <c r="C21" s="167">
        <v>0.3</v>
      </c>
      <c r="D21" s="167">
        <v>0.7</v>
      </c>
      <c r="E21" s="150"/>
    </row>
    <row r="28" spans="1:5" ht="15.75" thickBot="1">
      <c r="A28" s="161" t="s">
        <v>215</v>
      </c>
    </row>
    <row r="29" spans="1:5" ht="15.75" thickBot="1">
      <c r="A29" s="168"/>
      <c r="B29" s="160"/>
      <c r="C29" s="159" t="s">
        <v>71</v>
      </c>
      <c r="D29" s="159" t="s">
        <v>73</v>
      </c>
      <c r="E29" s="149" t="s">
        <v>72</v>
      </c>
    </row>
    <row r="30" spans="1:5" ht="15.75">
      <c r="A30" s="250" t="s">
        <v>88</v>
      </c>
      <c r="B30" s="162" t="s">
        <v>90</v>
      </c>
      <c r="C30" s="169">
        <v>11850</v>
      </c>
      <c r="D30" s="169">
        <v>324</v>
      </c>
      <c r="E30" s="174">
        <v>2150</v>
      </c>
    </row>
    <row r="31" spans="1:5" ht="15.75">
      <c r="A31" s="248"/>
      <c r="B31" s="164" t="s">
        <v>218</v>
      </c>
      <c r="C31" s="170">
        <v>35000</v>
      </c>
      <c r="D31" s="170">
        <v>35000</v>
      </c>
      <c r="E31" s="146"/>
    </row>
    <row r="32" spans="1:5" ht="15.75" thickBot="1">
      <c r="A32" s="249"/>
      <c r="B32" s="163"/>
      <c r="C32" s="167"/>
      <c r="D32" s="167"/>
      <c r="E32" s="145"/>
    </row>
    <row r="33" spans="1:5">
      <c r="A33" s="248" t="s">
        <v>70</v>
      </c>
      <c r="B33" s="164"/>
      <c r="C33" s="1"/>
      <c r="D33" s="1"/>
      <c r="E33" s="172"/>
    </row>
    <row r="34" spans="1:5">
      <c r="A34" s="248"/>
      <c r="B34" s="164"/>
      <c r="C34" s="166"/>
      <c r="D34" s="166"/>
      <c r="E34" s="172"/>
    </row>
    <row r="35" spans="1:5" ht="15.75" thickBot="1">
      <c r="A35" s="249"/>
      <c r="B35" s="163"/>
      <c r="C35" s="167"/>
      <c r="D35" s="167"/>
      <c r="E35" s="150"/>
    </row>
  </sheetData>
  <mergeCells count="6">
    <mergeCell ref="A5:A6"/>
    <mergeCell ref="A19:A21"/>
    <mergeCell ref="A15:A18"/>
    <mergeCell ref="A33:A35"/>
    <mergeCell ref="A9:A11"/>
    <mergeCell ref="A30:A32"/>
  </mergeCells>
  <hyperlinks>
    <hyperlink ref="C1" r:id="rId1" xr:uid="{3CFF528F-08A4-C245-8D02-A3CE42B242B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024A-1C0E-47BC-8A40-5BD8D8F29670}">
  <dimension ref="B1"/>
  <sheetViews>
    <sheetView workbookViewId="0">
      <selection activeCell="B8" sqref="B8"/>
    </sheetView>
  </sheetViews>
  <sheetFormatPr defaultRowHeight="15"/>
  <sheetData>
    <row r="1" spans="2:2">
      <c r="B1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E8FA-25CA-42DB-8B15-4C8566AD6605}">
  <dimension ref="A1:F124"/>
  <sheetViews>
    <sheetView topLeftCell="A25" zoomScale="259" zoomScaleNormal="175" workbookViewId="0">
      <selection activeCell="B35" sqref="B35"/>
    </sheetView>
  </sheetViews>
  <sheetFormatPr defaultColWidth="8.85546875" defaultRowHeight="15"/>
  <cols>
    <col min="1" max="1" width="27.7109375" bestFit="1" customWidth="1"/>
    <col min="2" max="2" width="9.85546875" style="1" customWidth="1"/>
    <col min="3" max="3" width="21.85546875" style="1" bestFit="1" customWidth="1"/>
    <col min="4" max="4" width="6" style="1" bestFit="1" customWidth="1"/>
    <col min="5" max="5" width="7" style="1" bestFit="1" customWidth="1"/>
    <col min="6" max="6" width="71.140625" customWidth="1"/>
  </cols>
  <sheetData>
    <row r="1" spans="1:6" ht="30">
      <c r="F1" s="184" t="s">
        <v>125</v>
      </c>
    </row>
    <row r="2" spans="1:6" ht="45">
      <c r="A2" s="180" t="s">
        <v>123</v>
      </c>
      <c r="B2" s="182" t="s">
        <v>127</v>
      </c>
      <c r="C2" s="181" t="s">
        <v>131</v>
      </c>
      <c r="D2" s="181" t="s">
        <v>94</v>
      </c>
      <c r="E2" s="181" t="s">
        <v>93</v>
      </c>
    </row>
    <row r="3" spans="1:6">
      <c r="A3" t="s">
        <v>128</v>
      </c>
      <c r="B3" s="1">
        <v>33</v>
      </c>
      <c r="C3" s="1" t="s">
        <v>106</v>
      </c>
      <c r="D3" s="1" t="s">
        <v>71</v>
      </c>
      <c r="E3" s="1" t="s">
        <v>195</v>
      </c>
    </row>
    <row r="4" spans="1:6">
      <c r="A4" t="s">
        <v>112</v>
      </c>
      <c r="B4" s="1">
        <v>39</v>
      </c>
      <c r="C4" s="1" t="s">
        <v>106</v>
      </c>
      <c r="D4" s="1" t="s">
        <v>71</v>
      </c>
      <c r="E4" s="1" t="s">
        <v>195</v>
      </c>
    </row>
    <row r="5" spans="1:6">
      <c r="A5" t="s">
        <v>124</v>
      </c>
      <c r="B5" s="1">
        <v>71</v>
      </c>
      <c r="C5" s="1" t="s">
        <v>106</v>
      </c>
      <c r="D5" s="1" t="s">
        <v>71</v>
      </c>
      <c r="E5" s="1" t="s">
        <v>195</v>
      </c>
    </row>
    <row r="6" spans="1:6">
      <c r="A6" t="s">
        <v>129</v>
      </c>
      <c r="B6" s="1">
        <v>140</v>
      </c>
      <c r="C6" s="1" t="s">
        <v>144</v>
      </c>
      <c r="D6" s="1" t="s">
        <v>132</v>
      </c>
      <c r="E6" s="1" t="s">
        <v>195</v>
      </c>
    </row>
    <row r="7" spans="1:6">
      <c r="A7" t="s">
        <v>129</v>
      </c>
      <c r="B7" s="1">
        <v>14</v>
      </c>
      <c r="C7" s="1" t="s">
        <v>130</v>
      </c>
      <c r="D7" s="1" t="s">
        <v>132</v>
      </c>
      <c r="E7" s="1" t="s">
        <v>195</v>
      </c>
    </row>
    <row r="8" spans="1:6">
      <c r="A8" t="s">
        <v>133</v>
      </c>
      <c r="B8" s="1">
        <v>26</v>
      </c>
      <c r="C8" s="1" t="s">
        <v>106</v>
      </c>
      <c r="D8" s="1" t="s">
        <v>72</v>
      </c>
      <c r="E8" s="1" t="s">
        <v>195</v>
      </c>
    </row>
    <row r="9" spans="1:6">
      <c r="A9" t="s">
        <v>133</v>
      </c>
      <c r="B9" s="1">
        <v>5</v>
      </c>
      <c r="C9" s="1" t="s">
        <v>130</v>
      </c>
      <c r="D9" s="1" t="s">
        <v>72</v>
      </c>
      <c r="E9" s="1" t="s">
        <v>195</v>
      </c>
    </row>
    <row r="10" spans="1:6">
      <c r="A10" t="s">
        <v>133</v>
      </c>
      <c r="B10" s="1">
        <v>21</v>
      </c>
      <c r="C10" s="1" t="s">
        <v>107</v>
      </c>
      <c r="D10" s="1" t="s">
        <v>72</v>
      </c>
      <c r="E10" s="1" t="s">
        <v>195</v>
      </c>
    </row>
    <row r="11" spans="1:6">
      <c r="A11" t="s">
        <v>134</v>
      </c>
      <c r="B11" s="1">
        <v>16</v>
      </c>
      <c r="C11" s="1" t="s">
        <v>106</v>
      </c>
      <c r="D11" s="1" t="s">
        <v>72</v>
      </c>
      <c r="E11" s="1" t="s">
        <v>195</v>
      </c>
    </row>
    <row r="12" spans="1:6">
      <c r="A12" t="s">
        <v>119</v>
      </c>
      <c r="B12" s="1">
        <v>1</v>
      </c>
      <c r="C12" s="1" t="s">
        <v>106</v>
      </c>
      <c r="D12" s="1" t="s">
        <v>72</v>
      </c>
      <c r="E12" s="1" t="s">
        <v>195</v>
      </c>
    </row>
    <row r="13" spans="1:6">
      <c r="A13" t="s">
        <v>113</v>
      </c>
      <c r="B13" s="1">
        <v>9</v>
      </c>
      <c r="C13" s="1" t="s">
        <v>106</v>
      </c>
      <c r="D13" s="1" t="s">
        <v>72</v>
      </c>
      <c r="E13" s="1" t="s">
        <v>195</v>
      </c>
    </row>
    <row r="14" spans="1:6">
      <c r="A14" t="s">
        <v>113</v>
      </c>
      <c r="B14" s="1">
        <v>8</v>
      </c>
      <c r="C14" s="1" t="s">
        <v>107</v>
      </c>
      <c r="D14" s="1" t="s">
        <v>72</v>
      </c>
      <c r="E14" s="1" t="s">
        <v>195</v>
      </c>
    </row>
    <row r="15" spans="1:6">
      <c r="A15" t="s">
        <v>135</v>
      </c>
      <c r="B15" s="1">
        <v>178</v>
      </c>
      <c r="C15" s="1" t="s">
        <v>144</v>
      </c>
      <c r="D15" s="1" t="s">
        <v>72</v>
      </c>
      <c r="E15" s="1" t="s">
        <v>195</v>
      </c>
    </row>
    <row r="16" spans="1:6">
      <c r="A16" t="s">
        <v>145</v>
      </c>
      <c r="B16" s="1">
        <v>183</v>
      </c>
      <c r="C16" s="1" t="s">
        <v>144</v>
      </c>
      <c r="D16" s="1" t="s">
        <v>72</v>
      </c>
      <c r="E16" s="1" t="s">
        <v>195</v>
      </c>
    </row>
    <row r="17" spans="1:5">
      <c r="A17" t="s">
        <v>136</v>
      </c>
      <c r="B17" s="1">
        <v>25</v>
      </c>
      <c r="C17" s="1" t="s">
        <v>130</v>
      </c>
      <c r="D17" s="1" t="s">
        <v>71</v>
      </c>
      <c r="E17" s="1" t="s">
        <v>195</v>
      </c>
    </row>
    <row r="18" spans="1:5">
      <c r="A18" t="s">
        <v>137</v>
      </c>
      <c r="B18" s="1">
        <v>19</v>
      </c>
      <c r="C18" s="1" t="s">
        <v>106</v>
      </c>
      <c r="D18" s="1" t="s">
        <v>71</v>
      </c>
      <c r="E18" s="1" t="s">
        <v>195</v>
      </c>
    </row>
    <row r="19" spans="1:5">
      <c r="A19" t="s">
        <v>139</v>
      </c>
      <c r="B19" s="1">
        <v>4</v>
      </c>
      <c r="C19" s="1" t="s">
        <v>106</v>
      </c>
      <c r="D19" s="1" t="s">
        <v>71</v>
      </c>
      <c r="E19" s="1" t="s">
        <v>195</v>
      </c>
    </row>
    <row r="20" spans="1:5">
      <c r="A20" t="s">
        <v>139</v>
      </c>
      <c r="B20" s="1">
        <v>20</v>
      </c>
      <c r="C20" s="1" t="s">
        <v>130</v>
      </c>
      <c r="D20" s="1" t="s">
        <v>71</v>
      </c>
      <c r="E20" s="1" t="s">
        <v>195</v>
      </c>
    </row>
    <row r="21" spans="1:5">
      <c r="A21" t="s">
        <v>138</v>
      </c>
      <c r="B21" s="1">
        <v>150</v>
      </c>
      <c r="C21" s="1" t="s">
        <v>144</v>
      </c>
      <c r="D21" s="1" t="s">
        <v>71</v>
      </c>
      <c r="E21" s="1" t="s">
        <v>195</v>
      </c>
    </row>
    <row r="22" spans="1:5">
      <c r="A22" t="s">
        <v>140</v>
      </c>
      <c r="B22" s="1">
        <v>13</v>
      </c>
      <c r="C22" s="1" t="s">
        <v>106</v>
      </c>
      <c r="D22" s="1" t="s">
        <v>72</v>
      </c>
      <c r="E22" s="1" t="s">
        <v>195</v>
      </c>
    </row>
    <row r="23" spans="1:5">
      <c r="A23" t="s">
        <v>141</v>
      </c>
      <c r="B23" s="1">
        <f>8+6</f>
        <v>14</v>
      </c>
      <c r="C23" s="1" t="s">
        <v>106</v>
      </c>
      <c r="D23" s="1" t="s">
        <v>72</v>
      </c>
      <c r="E23" s="1" t="s">
        <v>195</v>
      </c>
    </row>
    <row r="24" spans="1:5">
      <c r="A24" t="s">
        <v>78</v>
      </c>
      <c r="B24" s="1">
        <v>177</v>
      </c>
      <c r="C24" s="1" t="s">
        <v>126</v>
      </c>
      <c r="D24" s="1" t="s">
        <v>72</v>
      </c>
      <c r="E24" s="1" t="s">
        <v>195</v>
      </c>
    </row>
    <row r="25" spans="1:5">
      <c r="A25" t="s">
        <v>142</v>
      </c>
      <c r="B25" s="1">
        <v>10</v>
      </c>
      <c r="C25" s="1" t="s">
        <v>130</v>
      </c>
      <c r="D25" s="1" t="s">
        <v>72</v>
      </c>
      <c r="E25" s="1" t="s">
        <v>196</v>
      </c>
    </row>
    <row r="26" spans="1:5">
      <c r="A26" t="s">
        <v>143</v>
      </c>
      <c r="B26" s="1">
        <v>6</v>
      </c>
      <c r="C26" s="1" t="s">
        <v>106</v>
      </c>
      <c r="D26" s="1" t="s">
        <v>72</v>
      </c>
      <c r="E26" s="1" t="s">
        <v>196</v>
      </c>
    </row>
    <row r="27" spans="1:5">
      <c r="A27" t="s">
        <v>142</v>
      </c>
      <c r="B27" s="1">
        <f>B24+B26-B25</f>
        <v>173</v>
      </c>
      <c r="C27" s="1" t="s">
        <v>144</v>
      </c>
      <c r="D27" s="1" t="s">
        <v>72</v>
      </c>
      <c r="E27" s="1" t="s">
        <v>196</v>
      </c>
    </row>
    <row r="28" spans="1:5">
      <c r="A28" t="s">
        <v>150</v>
      </c>
      <c r="B28" s="1">
        <f>136+36</f>
        <v>172</v>
      </c>
      <c r="C28" s="1" t="s">
        <v>106</v>
      </c>
      <c r="D28" s="1" t="s">
        <v>72</v>
      </c>
      <c r="E28" s="1" t="s">
        <v>196</v>
      </c>
    </row>
    <row r="29" spans="1:5">
      <c r="A29" t="s">
        <v>150</v>
      </c>
      <c r="B29" s="1">
        <v>10</v>
      </c>
      <c r="C29" s="1" t="s">
        <v>130</v>
      </c>
      <c r="D29" s="1" t="s">
        <v>72</v>
      </c>
      <c r="E29" s="1" t="s">
        <v>196</v>
      </c>
    </row>
    <row r="30" spans="1:5">
      <c r="A30" t="s">
        <v>150</v>
      </c>
      <c r="B30" s="1">
        <f>B28-B29</f>
        <v>162</v>
      </c>
      <c r="C30" s="1" t="s">
        <v>149</v>
      </c>
      <c r="D30" s="1" t="s">
        <v>72</v>
      </c>
      <c r="E30" s="1" t="s">
        <v>196</v>
      </c>
    </row>
    <row r="31" spans="1:5">
      <c r="A31" t="s">
        <v>146</v>
      </c>
      <c r="B31" s="1">
        <f>B27+B30</f>
        <v>335</v>
      </c>
      <c r="C31" s="1" t="s">
        <v>144</v>
      </c>
      <c r="D31" s="1" t="s">
        <v>72</v>
      </c>
      <c r="E31" s="1" t="s">
        <v>196</v>
      </c>
    </row>
    <row r="32" spans="1:5">
      <c r="A32" s="183" t="s">
        <v>151</v>
      </c>
      <c r="B32" s="1">
        <v>12</v>
      </c>
      <c r="C32" s="1" t="s">
        <v>106</v>
      </c>
      <c r="D32" s="1" t="s">
        <v>73</v>
      </c>
      <c r="E32" s="1" t="s">
        <v>196</v>
      </c>
    </row>
    <row r="33" spans="1:5">
      <c r="A33" s="183" t="s">
        <v>151</v>
      </c>
      <c r="B33" s="1">
        <v>4</v>
      </c>
      <c r="C33" s="1" t="s">
        <v>130</v>
      </c>
      <c r="D33" s="1" t="s">
        <v>73</v>
      </c>
      <c r="E33" s="1" t="s">
        <v>196</v>
      </c>
    </row>
    <row r="34" spans="1:5">
      <c r="A34" t="s">
        <v>110</v>
      </c>
      <c r="B34" s="1">
        <f>40+20</f>
        <v>60</v>
      </c>
      <c r="C34" s="1" t="s">
        <v>106</v>
      </c>
      <c r="D34" s="1" t="s">
        <v>73</v>
      </c>
      <c r="E34" s="1" t="s">
        <v>196</v>
      </c>
    </row>
    <row r="35" spans="1:5">
      <c r="A35" t="s">
        <v>110</v>
      </c>
      <c r="B35" s="1">
        <v>10</v>
      </c>
      <c r="C35" s="1" t="s">
        <v>130</v>
      </c>
      <c r="D35" s="1" t="s">
        <v>73</v>
      </c>
      <c r="E35" s="1" t="s">
        <v>196</v>
      </c>
    </row>
    <row r="36" spans="1:5">
      <c r="A36" t="s">
        <v>110</v>
      </c>
      <c r="B36" s="1">
        <f>B34-B35</f>
        <v>50</v>
      </c>
      <c r="C36" s="1" t="s">
        <v>149</v>
      </c>
      <c r="D36" s="1" t="s">
        <v>73</v>
      </c>
      <c r="E36" s="1" t="s">
        <v>196</v>
      </c>
    </row>
    <row r="37" spans="1:5">
      <c r="A37" t="s">
        <v>147</v>
      </c>
      <c r="B37" s="1">
        <f>B31+B36+B32-B33</f>
        <v>393</v>
      </c>
      <c r="C37" s="1" t="s">
        <v>144</v>
      </c>
      <c r="D37" s="1" t="s">
        <v>73</v>
      </c>
      <c r="E37" s="1" t="s">
        <v>196</v>
      </c>
    </row>
    <row r="38" spans="1:5">
      <c r="A38" t="s">
        <v>152</v>
      </c>
      <c r="B38" s="1">
        <f>21+44+11</f>
        <v>76</v>
      </c>
      <c r="C38" s="1" t="s">
        <v>130</v>
      </c>
      <c r="D38" s="1" t="s">
        <v>73</v>
      </c>
      <c r="E38" s="1" t="s">
        <v>196</v>
      </c>
    </row>
    <row r="39" spans="1:5">
      <c r="A39" t="s">
        <v>148</v>
      </c>
      <c r="C39" s="1" t="s">
        <v>126</v>
      </c>
      <c r="D39" s="1" t="s">
        <v>73</v>
      </c>
      <c r="E39" s="1" t="s">
        <v>196</v>
      </c>
    </row>
    <row r="40" spans="1:5">
      <c r="A40" t="s">
        <v>95</v>
      </c>
      <c r="B40" s="1">
        <v>304</v>
      </c>
      <c r="C40" s="1" t="s">
        <v>130</v>
      </c>
      <c r="D40" s="1" t="s">
        <v>73</v>
      </c>
      <c r="E40" s="1" t="s">
        <v>197</v>
      </c>
    </row>
    <row r="41" spans="1:5">
      <c r="A41" t="s">
        <v>95</v>
      </c>
      <c r="B41" s="1">
        <v>332</v>
      </c>
      <c r="C41" s="1" t="s">
        <v>149</v>
      </c>
      <c r="D41" s="1" t="s">
        <v>73</v>
      </c>
      <c r="E41" s="1" t="s">
        <v>197</v>
      </c>
    </row>
    <row r="42" spans="1:5">
      <c r="A42" t="s">
        <v>153</v>
      </c>
      <c r="B42" s="1">
        <v>109</v>
      </c>
      <c r="C42" s="1" t="s">
        <v>106</v>
      </c>
      <c r="D42" s="1" t="s">
        <v>73</v>
      </c>
      <c r="E42" s="1" t="s">
        <v>197</v>
      </c>
    </row>
    <row r="43" spans="1:5">
      <c r="A43" t="s">
        <v>154</v>
      </c>
      <c r="B43" s="1">
        <v>12</v>
      </c>
      <c r="C43" s="1" t="s">
        <v>106</v>
      </c>
      <c r="D43" s="1" t="s">
        <v>73</v>
      </c>
      <c r="E43" s="1" t="s">
        <v>197</v>
      </c>
    </row>
    <row r="44" spans="1:5">
      <c r="A44" t="s">
        <v>155</v>
      </c>
      <c r="B44" s="1">
        <v>466</v>
      </c>
      <c r="C44" s="1" t="s">
        <v>106</v>
      </c>
      <c r="D44" s="1" t="s">
        <v>73</v>
      </c>
      <c r="E44" s="1" t="s">
        <v>197</v>
      </c>
    </row>
    <row r="45" spans="1:5">
      <c r="A45" t="s">
        <v>156</v>
      </c>
      <c r="B45" s="1">
        <v>23</v>
      </c>
      <c r="C45" s="1" t="s">
        <v>106</v>
      </c>
      <c r="D45" s="1" t="s">
        <v>73</v>
      </c>
      <c r="E45" s="1" t="s">
        <v>197</v>
      </c>
    </row>
    <row r="46" spans="1:5">
      <c r="A46" t="s">
        <v>116</v>
      </c>
      <c r="B46" s="1">
        <v>18</v>
      </c>
      <c r="C46" s="1" t="s">
        <v>106</v>
      </c>
      <c r="D46" s="1" t="s">
        <v>73</v>
      </c>
      <c r="E46" s="1" t="s">
        <v>197</v>
      </c>
    </row>
    <row r="47" spans="1:5">
      <c r="A47" t="s">
        <v>109</v>
      </c>
      <c r="B47" s="1">
        <v>2</v>
      </c>
      <c r="C47" s="1" t="s">
        <v>130</v>
      </c>
      <c r="D47" s="1" t="s">
        <v>73</v>
      </c>
      <c r="E47" s="1" t="s">
        <v>197</v>
      </c>
    </row>
    <row r="48" spans="1:5">
      <c r="A48" t="s">
        <v>157</v>
      </c>
      <c r="B48" s="1">
        <v>3</v>
      </c>
      <c r="C48" s="1" t="s">
        <v>130</v>
      </c>
      <c r="D48" s="1" t="s">
        <v>73</v>
      </c>
      <c r="E48" s="1" t="s">
        <v>197</v>
      </c>
    </row>
    <row r="49" spans="1:5">
      <c r="A49" t="s">
        <v>157</v>
      </c>
      <c r="B49" s="1">
        <v>11</v>
      </c>
      <c r="C49" s="1" t="s">
        <v>149</v>
      </c>
      <c r="D49" s="1" t="s">
        <v>73</v>
      </c>
      <c r="E49" s="1" t="s">
        <v>197</v>
      </c>
    </row>
    <row r="50" spans="1:5">
      <c r="A50" t="s">
        <v>108</v>
      </c>
      <c r="B50" s="1">
        <v>72</v>
      </c>
      <c r="C50" s="1" t="s">
        <v>106</v>
      </c>
      <c r="D50" s="1" t="s">
        <v>73</v>
      </c>
      <c r="E50" s="1" t="s">
        <v>197</v>
      </c>
    </row>
    <row r="51" spans="1:5">
      <c r="A51" t="s">
        <v>158</v>
      </c>
      <c r="C51" s="1" t="s">
        <v>159</v>
      </c>
      <c r="D51" s="1" t="s">
        <v>73</v>
      </c>
      <c r="E51" s="1" t="s">
        <v>197</v>
      </c>
    </row>
    <row r="52" spans="1:5">
      <c r="A52" t="s">
        <v>160</v>
      </c>
      <c r="B52" s="1">
        <f>B44+B45+B46-B47+B49+B50</f>
        <v>588</v>
      </c>
      <c r="D52" s="1" t="s">
        <v>73</v>
      </c>
      <c r="E52" s="1" t="s">
        <v>197</v>
      </c>
    </row>
    <row r="53" spans="1:5">
      <c r="A53" t="s">
        <v>161</v>
      </c>
      <c r="B53" s="1">
        <v>12</v>
      </c>
      <c r="C53" s="1" t="s">
        <v>130</v>
      </c>
      <c r="D53" s="1" t="s">
        <v>73</v>
      </c>
      <c r="E53" s="1" t="s">
        <v>197</v>
      </c>
    </row>
    <row r="54" spans="1:5">
      <c r="A54" t="s">
        <v>162</v>
      </c>
      <c r="B54" s="1">
        <v>60</v>
      </c>
      <c r="C54" s="1" t="s">
        <v>130</v>
      </c>
      <c r="D54" s="1" t="s">
        <v>73</v>
      </c>
      <c r="E54" s="1" t="s">
        <v>197</v>
      </c>
    </row>
    <row r="55" spans="1:5">
      <c r="A55" t="s">
        <v>117</v>
      </c>
      <c r="B55" s="1">
        <v>5</v>
      </c>
      <c r="C55" s="1" t="s">
        <v>130</v>
      </c>
      <c r="D55" s="1" t="s">
        <v>73</v>
      </c>
      <c r="E55" s="1" t="s">
        <v>197</v>
      </c>
    </row>
    <row r="56" spans="1:5">
      <c r="A56" t="s">
        <v>163</v>
      </c>
      <c r="B56" s="1">
        <v>146</v>
      </c>
      <c r="C56" s="1" t="s">
        <v>106</v>
      </c>
      <c r="D56" s="1" t="s">
        <v>73</v>
      </c>
      <c r="E56" s="1" t="s">
        <v>197</v>
      </c>
    </row>
    <row r="57" spans="1:5">
      <c r="A57" t="s">
        <v>120</v>
      </c>
      <c r="B57" s="1">
        <v>24</v>
      </c>
      <c r="C57" s="1" t="s">
        <v>106</v>
      </c>
      <c r="D57" s="1" t="s">
        <v>73</v>
      </c>
      <c r="E57" s="1" t="s">
        <v>197</v>
      </c>
    </row>
    <row r="58" spans="1:5">
      <c r="A58" t="s">
        <v>164</v>
      </c>
      <c r="B58" s="1">
        <f>B52-B53-B54-B55+B56+B57</f>
        <v>681</v>
      </c>
      <c r="C58" s="1" t="s">
        <v>144</v>
      </c>
      <c r="D58" s="1" t="s">
        <v>73</v>
      </c>
      <c r="E58" s="1" t="s">
        <v>197</v>
      </c>
    </row>
    <row r="59" spans="1:5">
      <c r="A59" t="s">
        <v>121</v>
      </c>
      <c r="B59" s="1">
        <v>39</v>
      </c>
      <c r="C59" s="1" t="s">
        <v>126</v>
      </c>
      <c r="D59" s="1" t="s">
        <v>73</v>
      </c>
      <c r="E59" s="1" t="s">
        <v>197</v>
      </c>
    </row>
    <row r="60" spans="1:5">
      <c r="A60" t="s">
        <v>121</v>
      </c>
      <c r="B60" s="1">
        <v>22</v>
      </c>
      <c r="C60" s="1" t="s">
        <v>130</v>
      </c>
      <c r="D60" s="1" t="s">
        <v>73</v>
      </c>
      <c r="E60" s="1" t="s">
        <v>197</v>
      </c>
    </row>
    <row r="61" spans="1:5">
      <c r="A61" t="s">
        <v>165</v>
      </c>
      <c r="B61" s="1">
        <v>52</v>
      </c>
      <c r="C61" s="1" t="s">
        <v>106</v>
      </c>
      <c r="D61" s="1" t="s">
        <v>73</v>
      </c>
      <c r="E61" s="1" t="s">
        <v>197</v>
      </c>
    </row>
    <row r="62" spans="1:5">
      <c r="A62" t="s">
        <v>167</v>
      </c>
      <c r="B62" s="1">
        <v>31</v>
      </c>
      <c r="C62" s="1" t="s">
        <v>126</v>
      </c>
      <c r="D62" s="1" t="s">
        <v>73</v>
      </c>
      <c r="E62" s="1" t="s">
        <v>197</v>
      </c>
    </row>
    <row r="63" spans="1:5">
      <c r="A63" t="s">
        <v>140</v>
      </c>
      <c r="B63" s="1">
        <v>20</v>
      </c>
      <c r="C63" s="1" t="s">
        <v>130</v>
      </c>
      <c r="D63" s="1" t="s">
        <v>73</v>
      </c>
      <c r="E63" s="1" t="s">
        <v>197</v>
      </c>
    </row>
    <row r="64" spans="1:5">
      <c r="A64" t="s">
        <v>165</v>
      </c>
      <c r="B64" s="1">
        <f>B61-B62 +15</f>
        <v>36</v>
      </c>
      <c r="C64" s="1" t="s">
        <v>149</v>
      </c>
      <c r="D64" s="1" t="s">
        <v>73</v>
      </c>
      <c r="E64" s="1" t="s">
        <v>197</v>
      </c>
    </row>
    <row r="65" spans="1:5">
      <c r="A65" t="s">
        <v>168</v>
      </c>
      <c r="B65" s="1">
        <f>B58+B64-B59</f>
        <v>678</v>
      </c>
      <c r="C65" s="1" t="s">
        <v>144</v>
      </c>
      <c r="D65" s="1" t="s">
        <v>73</v>
      </c>
      <c r="E65" s="1" t="s">
        <v>197</v>
      </c>
    </row>
    <row r="66" spans="1:5">
      <c r="A66" t="s">
        <v>169</v>
      </c>
      <c r="B66" s="1">
        <v>6</v>
      </c>
      <c r="C66" s="1" t="s">
        <v>130</v>
      </c>
      <c r="D66" s="1" t="s">
        <v>73</v>
      </c>
      <c r="E66" s="1" t="s">
        <v>197</v>
      </c>
    </row>
    <row r="67" spans="1:5">
      <c r="A67" t="s">
        <v>170</v>
      </c>
      <c r="B67" s="1">
        <v>64</v>
      </c>
      <c r="C67" s="1" t="s">
        <v>106</v>
      </c>
      <c r="D67" s="1" t="s">
        <v>73</v>
      </c>
      <c r="E67" s="1" t="s">
        <v>197</v>
      </c>
    </row>
    <row r="68" spans="1:5">
      <c r="A68" t="s">
        <v>115</v>
      </c>
      <c r="B68" s="1">
        <v>4</v>
      </c>
      <c r="C68" s="1" t="s">
        <v>130</v>
      </c>
      <c r="D68" s="1" t="s">
        <v>73</v>
      </c>
      <c r="E68" s="1" t="s">
        <v>197</v>
      </c>
    </row>
    <row r="69" spans="1:5">
      <c r="A69" t="s">
        <v>115</v>
      </c>
      <c r="B69" s="1">
        <v>18</v>
      </c>
      <c r="C69" s="1" t="s">
        <v>149</v>
      </c>
      <c r="D69" s="1" t="s">
        <v>73</v>
      </c>
      <c r="E69" s="1" t="s">
        <v>197</v>
      </c>
    </row>
    <row r="70" spans="1:5">
      <c r="A70" t="s">
        <v>130</v>
      </c>
      <c r="B70" s="1">
        <v>8</v>
      </c>
      <c r="C70" s="1" t="s">
        <v>130</v>
      </c>
      <c r="D70" s="1" t="s">
        <v>73</v>
      </c>
      <c r="E70" s="1" t="s">
        <v>197</v>
      </c>
    </row>
    <row r="71" spans="1:5">
      <c r="A71" t="s">
        <v>171</v>
      </c>
      <c r="B71" s="1">
        <f>B65-B66+B67+B69-B70</f>
        <v>746</v>
      </c>
      <c r="C71" s="1" t="s">
        <v>144</v>
      </c>
      <c r="D71" s="1" t="s">
        <v>198</v>
      </c>
      <c r="E71" s="1" t="s">
        <v>197</v>
      </c>
    </row>
    <row r="72" spans="1:5">
      <c r="A72" t="s">
        <v>172</v>
      </c>
      <c r="B72" s="1">
        <v>83</v>
      </c>
      <c r="C72" s="1" t="s">
        <v>166</v>
      </c>
      <c r="D72" s="1" t="s">
        <v>71</v>
      </c>
      <c r="E72" s="1" t="s">
        <v>197</v>
      </c>
    </row>
    <row r="73" spans="1:5">
      <c r="A73" t="s">
        <v>172</v>
      </c>
      <c r="B73" s="1">
        <f>22+8</f>
        <v>30</v>
      </c>
      <c r="C73" s="1" t="s">
        <v>130</v>
      </c>
      <c r="D73" s="1" t="s">
        <v>71</v>
      </c>
      <c r="E73" s="1" t="s">
        <v>197</v>
      </c>
    </row>
    <row r="74" spans="1:5">
      <c r="A74" t="s">
        <v>172</v>
      </c>
      <c r="B74" s="1">
        <f>B72-B73</f>
        <v>53</v>
      </c>
      <c r="C74" s="1" t="s">
        <v>149</v>
      </c>
      <c r="D74" s="1" t="s">
        <v>71</v>
      </c>
      <c r="E74" s="1" t="s">
        <v>197</v>
      </c>
    </row>
    <row r="75" spans="1:5">
      <c r="A75" t="s">
        <v>169</v>
      </c>
      <c r="B75" s="1">
        <v>13</v>
      </c>
      <c r="C75" s="1" t="s">
        <v>130</v>
      </c>
      <c r="D75" s="1" t="s">
        <v>71</v>
      </c>
      <c r="E75" s="1" t="s">
        <v>197</v>
      </c>
    </row>
    <row r="76" spans="1:5">
      <c r="A76" t="s">
        <v>173</v>
      </c>
      <c r="B76" s="1">
        <v>20</v>
      </c>
      <c r="C76" s="1" t="s">
        <v>149</v>
      </c>
      <c r="D76" s="1" t="s">
        <v>71</v>
      </c>
      <c r="E76" s="1" t="s">
        <v>197</v>
      </c>
    </row>
    <row r="77" spans="1:5">
      <c r="A77" t="s">
        <v>174</v>
      </c>
      <c r="B77" s="1">
        <f>21-3</f>
        <v>18</v>
      </c>
      <c r="C77" s="1" t="s">
        <v>149</v>
      </c>
      <c r="D77" s="1" t="s">
        <v>71</v>
      </c>
      <c r="E77" s="1" t="s">
        <v>197</v>
      </c>
    </row>
    <row r="78" spans="1:5">
      <c r="A78" t="s">
        <v>175</v>
      </c>
      <c r="B78" s="1">
        <f>14-2</f>
        <v>12</v>
      </c>
      <c r="C78" s="1" t="s">
        <v>149</v>
      </c>
      <c r="D78" s="1" t="s">
        <v>71</v>
      </c>
      <c r="E78" s="1" t="s">
        <v>197</v>
      </c>
    </row>
    <row r="79" spans="1:5">
      <c r="A79" t="s">
        <v>130</v>
      </c>
      <c r="B79" s="1">
        <v>6</v>
      </c>
      <c r="C79" s="1" t="s">
        <v>130</v>
      </c>
      <c r="D79" s="1" t="s">
        <v>71</v>
      </c>
      <c r="E79" s="1" t="s">
        <v>197</v>
      </c>
    </row>
    <row r="80" spans="1:5">
      <c r="A80" t="s">
        <v>176</v>
      </c>
      <c r="B80" s="1">
        <v>108</v>
      </c>
      <c r="C80" s="1" t="s">
        <v>106</v>
      </c>
      <c r="D80" s="1" t="s">
        <v>71</v>
      </c>
      <c r="E80" s="1" t="s">
        <v>197</v>
      </c>
    </row>
    <row r="81" spans="1:5">
      <c r="A81" t="s">
        <v>182</v>
      </c>
      <c r="B81" s="1">
        <f>B71+B74+B76+B77+B78+B80-B75-B79</f>
        <v>938</v>
      </c>
      <c r="C81" s="1" t="s">
        <v>144</v>
      </c>
      <c r="D81" s="1" t="s">
        <v>71</v>
      </c>
      <c r="E81" s="1" t="s">
        <v>197</v>
      </c>
    </row>
    <row r="82" spans="1:5">
      <c r="A82" t="s">
        <v>36</v>
      </c>
      <c r="B82" s="1">
        <v>184</v>
      </c>
      <c r="C82" s="1" t="s">
        <v>106</v>
      </c>
      <c r="D82" s="1" t="s">
        <v>71</v>
      </c>
      <c r="E82" s="1" t="s">
        <v>197</v>
      </c>
    </row>
    <row r="83" spans="1:5">
      <c r="A83" t="s">
        <v>36</v>
      </c>
      <c r="B83" s="1">
        <v>50</v>
      </c>
      <c r="C83" s="1" t="s">
        <v>126</v>
      </c>
      <c r="D83" s="1" t="s">
        <v>71</v>
      </c>
      <c r="E83" s="1" t="s">
        <v>197</v>
      </c>
    </row>
    <row r="84" spans="1:5">
      <c r="A84" t="s">
        <v>36</v>
      </c>
      <c r="B84" s="1">
        <v>30</v>
      </c>
      <c r="C84" s="1" t="s">
        <v>130</v>
      </c>
      <c r="D84" s="1" t="s">
        <v>71</v>
      </c>
      <c r="E84" s="1" t="s">
        <v>197</v>
      </c>
    </row>
    <row r="85" spans="1:5">
      <c r="A85" t="s">
        <v>36</v>
      </c>
      <c r="B85" s="1">
        <f>B82-B83</f>
        <v>134</v>
      </c>
      <c r="C85" s="1" t="s">
        <v>184</v>
      </c>
      <c r="D85" s="1" t="s">
        <v>71</v>
      </c>
      <c r="E85" s="1" t="s">
        <v>197</v>
      </c>
    </row>
    <row r="86" spans="1:5">
      <c r="A86" t="s">
        <v>111</v>
      </c>
      <c r="B86" s="1">
        <v>98</v>
      </c>
      <c r="C86" s="1" t="s">
        <v>106</v>
      </c>
      <c r="D86" s="1" t="s">
        <v>71</v>
      </c>
      <c r="E86" s="1" t="s">
        <v>197</v>
      </c>
    </row>
    <row r="87" spans="1:5">
      <c r="A87" t="s">
        <v>111</v>
      </c>
      <c r="B87" s="1">
        <v>28</v>
      </c>
      <c r="C87" s="1" t="s">
        <v>126</v>
      </c>
      <c r="D87" s="1" t="s">
        <v>71</v>
      </c>
      <c r="E87" s="1" t="s">
        <v>197</v>
      </c>
    </row>
    <row r="88" spans="1:5">
      <c r="A88" t="s">
        <v>111</v>
      </c>
      <c r="B88" s="1">
        <v>17</v>
      </c>
      <c r="C88" s="1" t="s">
        <v>130</v>
      </c>
      <c r="D88" s="1" t="s">
        <v>71</v>
      </c>
      <c r="E88" s="1" t="s">
        <v>197</v>
      </c>
    </row>
    <row r="89" spans="1:5">
      <c r="A89" t="s">
        <v>111</v>
      </c>
      <c r="B89" s="1">
        <f>B86-B87</f>
        <v>70</v>
      </c>
      <c r="C89" s="1" t="s">
        <v>177</v>
      </c>
      <c r="D89" s="1" t="s">
        <v>71</v>
      </c>
      <c r="E89" s="1" t="s">
        <v>197</v>
      </c>
    </row>
    <row r="90" spans="1:5">
      <c r="A90" t="s">
        <v>36</v>
      </c>
      <c r="B90" s="1">
        <f>B89+B85</f>
        <v>204</v>
      </c>
      <c r="C90" s="1" t="s">
        <v>183</v>
      </c>
      <c r="D90" s="1" t="s">
        <v>71</v>
      </c>
      <c r="E90" s="1" t="s">
        <v>197</v>
      </c>
    </row>
    <row r="91" spans="1:5">
      <c r="A91" t="s">
        <v>178</v>
      </c>
      <c r="B91" s="1">
        <v>26</v>
      </c>
      <c r="C91" s="1" t="s">
        <v>106</v>
      </c>
      <c r="D91" s="1" t="s">
        <v>71</v>
      </c>
      <c r="E91" s="1" t="s">
        <v>197</v>
      </c>
    </row>
    <row r="92" spans="1:5">
      <c r="A92" t="s">
        <v>179</v>
      </c>
      <c r="B92" s="1">
        <v>20</v>
      </c>
      <c r="C92" s="1" t="s">
        <v>106</v>
      </c>
      <c r="D92" s="1" t="s">
        <v>71</v>
      </c>
      <c r="E92" s="1" t="s">
        <v>197</v>
      </c>
    </row>
    <row r="93" spans="1:5">
      <c r="A93" t="s">
        <v>179</v>
      </c>
      <c r="B93" s="1">
        <v>15</v>
      </c>
      <c r="C93" s="1" t="s">
        <v>126</v>
      </c>
      <c r="D93" s="1" t="s">
        <v>71</v>
      </c>
      <c r="E93" s="1" t="s">
        <v>197</v>
      </c>
    </row>
    <row r="94" spans="1:5">
      <c r="A94" t="s">
        <v>179</v>
      </c>
      <c r="B94" s="1">
        <v>10</v>
      </c>
      <c r="C94" s="1" t="s">
        <v>130</v>
      </c>
      <c r="D94" s="1" t="s">
        <v>71</v>
      </c>
      <c r="E94" s="1" t="s">
        <v>197</v>
      </c>
    </row>
    <row r="95" spans="1:5">
      <c r="A95" t="s">
        <v>180</v>
      </c>
      <c r="B95" s="1">
        <v>41</v>
      </c>
      <c r="C95" s="1" t="s">
        <v>106</v>
      </c>
      <c r="D95" s="1" t="s">
        <v>71</v>
      </c>
      <c r="E95" s="1" t="s">
        <v>197</v>
      </c>
    </row>
    <row r="96" spans="1:5">
      <c r="A96" t="s">
        <v>180</v>
      </c>
      <c r="B96" s="1">
        <v>10</v>
      </c>
      <c r="C96" s="1" t="s">
        <v>126</v>
      </c>
      <c r="D96" s="1" t="s">
        <v>71</v>
      </c>
      <c r="E96" s="1" t="s">
        <v>197</v>
      </c>
    </row>
    <row r="97" spans="1:5">
      <c r="A97" t="s">
        <v>180</v>
      </c>
      <c r="B97" s="1">
        <v>6</v>
      </c>
      <c r="C97" s="1" t="s">
        <v>130</v>
      </c>
      <c r="D97" s="1" t="s">
        <v>71</v>
      </c>
      <c r="E97" s="1" t="s">
        <v>197</v>
      </c>
    </row>
    <row r="98" spans="1:5">
      <c r="A98" t="s">
        <v>114</v>
      </c>
      <c r="B98" s="1">
        <v>71</v>
      </c>
      <c r="C98" s="1" t="s">
        <v>166</v>
      </c>
      <c r="D98" s="1" t="s">
        <v>71</v>
      </c>
      <c r="E98" s="1" t="s">
        <v>197</v>
      </c>
    </row>
    <row r="99" spans="1:5">
      <c r="A99" t="s">
        <v>27</v>
      </c>
      <c r="B99" s="1">
        <v>22</v>
      </c>
      <c r="C99" s="1" t="s">
        <v>126</v>
      </c>
      <c r="D99" s="1" t="s">
        <v>71</v>
      </c>
      <c r="E99" s="1" t="s">
        <v>197</v>
      </c>
    </row>
    <row r="100" spans="1:5">
      <c r="A100" t="s">
        <v>27</v>
      </c>
      <c r="B100" s="1">
        <v>14</v>
      </c>
      <c r="C100" s="1" t="s">
        <v>130</v>
      </c>
      <c r="D100" s="1" t="s">
        <v>71</v>
      </c>
      <c r="E100" s="1" t="s">
        <v>197</v>
      </c>
    </row>
    <row r="101" spans="1:5">
      <c r="A101" t="s">
        <v>106</v>
      </c>
      <c r="B101" s="1">
        <v>20</v>
      </c>
      <c r="C101" s="1" t="s">
        <v>166</v>
      </c>
      <c r="D101" s="1" t="s">
        <v>71</v>
      </c>
      <c r="E101" s="1" t="s">
        <v>197</v>
      </c>
    </row>
    <row r="102" spans="1:5">
      <c r="A102" t="s">
        <v>114</v>
      </c>
      <c r="B102" s="1">
        <f>B98-B99+B101</f>
        <v>69</v>
      </c>
      <c r="C102" s="1" t="s">
        <v>184</v>
      </c>
      <c r="D102" s="1" t="s">
        <v>71</v>
      </c>
      <c r="E102" s="1" t="s">
        <v>197</v>
      </c>
    </row>
    <row r="103" spans="1:5">
      <c r="A103" t="s">
        <v>181</v>
      </c>
      <c r="B103" s="1">
        <v>114</v>
      </c>
      <c r="C103" s="1" t="s">
        <v>106</v>
      </c>
      <c r="D103" s="1" t="s">
        <v>71</v>
      </c>
      <c r="E103" s="1" t="s">
        <v>197</v>
      </c>
    </row>
    <row r="104" spans="1:5">
      <c r="A104" t="s">
        <v>36</v>
      </c>
      <c r="B104" s="1">
        <f>B103+B102+B90</f>
        <v>387</v>
      </c>
      <c r="C104" s="1" t="s">
        <v>149</v>
      </c>
      <c r="D104" s="1" t="s">
        <v>71</v>
      </c>
      <c r="E104" s="1" t="s">
        <v>197</v>
      </c>
    </row>
    <row r="105" spans="1:5">
      <c r="A105" t="s">
        <v>185</v>
      </c>
      <c r="B105" s="1">
        <f>B104+B81</f>
        <v>1325</v>
      </c>
      <c r="C105" s="1" t="s">
        <v>186</v>
      </c>
      <c r="D105" s="1" t="s">
        <v>71</v>
      </c>
      <c r="E105" s="1" t="s">
        <v>197</v>
      </c>
    </row>
    <row r="106" spans="1:5">
      <c r="A106" t="s">
        <v>118</v>
      </c>
      <c r="B106" s="1">
        <v>39</v>
      </c>
      <c r="C106" s="1" t="s">
        <v>126</v>
      </c>
      <c r="D106" s="1" t="s">
        <v>71</v>
      </c>
      <c r="E106" s="1" t="s">
        <v>197</v>
      </c>
    </row>
    <row r="107" spans="1:5">
      <c r="A107" t="s">
        <v>118</v>
      </c>
      <c r="B107" s="1">
        <v>22</v>
      </c>
      <c r="C107" s="1" t="s">
        <v>130</v>
      </c>
      <c r="D107" s="1" t="s">
        <v>71</v>
      </c>
      <c r="E107" s="1" t="s">
        <v>197</v>
      </c>
    </row>
    <row r="108" spans="1:5">
      <c r="A108" t="s">
        <v>187</v>
      </c>
      <c r="B108" s="1">
        <v>191</v>
      </c>
      <c r="C108" s="1" t="s">
        <v>126</v>
      </c>
      <c r="D108" s="1" t="s">
        <v>71</v>
      </c>
      <c r="E108" s="1" t="s">
        <v>197</v>
      </c>
    </row>
    <row r="109" spans="1:5">
      <c r="A109" t="s">
        <v>187</v>
      </c>
      <c r="B109" s="1">
        <v>110</v>
      </c>
      <c r="C109" s="1" t="s">
        <v>130</v>
      </c>
      <c r="D109" s="1" t="s">
        <v>71</v>
      </c>
      <c r="E109" s="1" t="s">
        <v>197</v>
      </c>
    </row>
    <row r="110" spans="1:5">
      <c r="A110" t="s">
        <v>188</v>
      </c>
      <c r="B110" s="1">
        <f>B105-B106-B108</f>
        <v>1095</v>
      </c>
      <c r="C110" s="1" t="s">
        <v>144</v>
      </c>
      <c r="D110" s="1" t="s">
        <v>71</v>
      </c>
      <c r="E110" s="1" t="s">
        <v>197</v>
      </c>
    </row>
    <row r="111" spans="1:5">
      <c r="A111" t="s">
        <v>173</v>
      </c>
      <c r="B111" s="1">
        <v>6</v>
      </c>
      <c r="C111" s="1" t="s">
        <v>106</v>
      </c>
      <c r="D111" s="1" t="s">
        <v>71</v>
      </c>
      <c r="E111" s="1" t="s">
        <v>197</v>
      </c>
    </row>
    <row r="112" spans="1:5">
      <c r="A112" t="s">
        <v>189</v>
      </c>
      <c r="B112" s="1">
        <v>75</v>
      </c>
      <c r="C112" s="1" t="s">
        <v>106</v>
      </c>
      <c r="D112" s="1" t="s">
        <v>71</v>
      </c>
      <c r="E112" s="1" t="s">
        <v>197</v>
      </c>
    </row>
    <row r="113" spans="1:5">
      <c r="A113" t="s">
        <v>189</v>
      </c>
      <c r="B113" s="1">
        <v>26</v>
      </c>
      <c r="C113" s="1" t="s">
        <v>130</v>
      </c>
      <c r="D113" s="1" t="s">
        <v>71</v>
      </c>
      <c r="E113" s="1" t="s">
        <v>197</v>
      </c>
    </row>
    <row r="114" spans="1:5">
      <c r="A114" t="s">
        <v>190</v>
      </c>
      <c r="B114" s="1">
        <v>11</v>
      </c>
      <c r="C114" s="1" t="s">
        <v>106</v>
      </c>
      <c r="D114" s="1" t="s">
        <v>71</v>
      </c>
      <c r="E114" s="1" t="s">
        <v>197</v>
      </c>
    </row>
    <row r="115" spans="1:5">
      <c r="A115" t="s">
        <v>189</v>
      </c>
      <c r="B115" s="1">
        <f>B112-B113+B114</f>
        <v>60</v>
      </c>
      <c r="C115" s="1" t="s">
        <v>106</v>
      </c>
      <c r="D115" s="1" t="s">
        <v>71</v>
      </c>
      <c r="E115" s="1" t="s">
        <v>197</v>
      </c>
    </row>
    <row r="116" spans="1:5">
      <c r="A116" t="s">
        <v>191</v>
      </c>
      <c r="B116" s="1">
        <v>36</v>
      </c>
      <c r="C116" s="1" t="s">
        <v>130</v>
      </c>
      <c r="D116" s="1" t="s">
        <v>71</v>
      </c>
      <c r="E116" s="1" t="s">
        <v>197</v>
      </c>
    </row>
    <row r="117" spans="1:5">
      <c r="A117" t="s">
        <v>189</v>
      </c>
      <c r="B117" s="1">
        <f>B115-B116</f>
        <v>24</v>
      </c>
      <c r="C117" s="1" t="s">
        <v>149</v>
      </c>
      <c r="D117" s="1" t="s">
        <v>71</v>
      </c>
      <c r="E117" s="1" t="s">
        <v>197</v>
      </c>
    </row>
    <row r="118" spans="1:5">
      <c r="A118" t="s">
        <v>181</v>
      </c>
      <c r="B118" s="1">
        <v>107</v>
      </c>
      <c r="C118" s="1" t="s">
        <v>106</v>
      </c>
      <c r="D118" s="1" t="s">
        <v>71</v>
      </c>
      <c r="E118" s="1" t="s">
        <v>197</v>
      </c>
    </row>
    <row r="119" spans="1:5">
      <c r="A119" t="s">
        <v>192</v>
      </c>
      <c r="B119" s="1">
        <f>B110+B117+B118+B111</f>
        <v>1232</v>
      </c>
      <c r="C119" s="1" t="s">
        <v>144</v>
      </c>
      <c r="D119" s="1" t="s">
        <v>71</v>
      </c>
      <c r="E119" s="1" t="s">
        <v>197</v>
      </c>
    </row>
    <row r="120" spans="1:5">
      <c r="A120" t="s">
        <v>193</v>
      </c>
      <c r="B120" s="1">
        <v>91</v>
      </c>
      <c r="C120" s="1" t="s">
        <v>130</v>
      </c>
      <c r="D120" s="1" t="s">
        <v>71</v>
      </c>
      <c r="E120" s="1" t="s">
        <v>197</v>
      </c>
    </row>
    <row r="121" spans="1:5">
      <c r="A121" t="s">
        <v>122</v>
      </c>
      <c r="B121" s="1">
        <v>280</v>
      </c>
      <c r="C121" s="1" t="s">
        <v>126</v>
      </c>
      <c r="D121" s="1" t="s">
        <v>71</v>
      </c>
      <c r="E121" s="1" t="s">
        <v>197</v>
      </c>
    </row>
    <row r="122" spans="1:5">
      <c r="A122" t="s">
        <v>122</v>
      </c>
      <c r="B122" s="1">
        <v>84</v>
      </c>
      <c r="C122" s="1" t="s">
        <v>130</v>
      </c>
      <c r="D122" s="1" t="s">
        <v>71</v>
      </c>
      <c r="E122" s="1" t="s">
        <v>197</v>
      </c>
    </row>
    <row r="123" spans="1:5">
      <c r="A123" t="s">
        <v>163</v>
      </c>
      <c r="B123" s="1">
        <v>143</v>
      </c>
      <c r="C123" s="1" t="s">
        <v>106</v>
      </c>
      <c r="D123" s="1" t="s">
        <v>71</v>
      </c>
      <c r="E123" s="1" t="s">
        <v>197</v>
      </c>
    </row>
    <row r="124" spans="1:5">
      <c r="A124" t="s">
        <v>194</v>
      </c>
      <c r="B124" s="1">
        <f>B119+B123-B120-B121</f>
        <v>1004</v>
      </c>
      <c r="C124" s="1" t="s">
        <v>144</v>
      </c>
      <c r="D124" s="1" t="s">
        <v>71</v>
      </c>
      <c r="E124" s="1" t="s">
        <v>197</v>
      </c>
    </row>
  </sheetData>
  <hyperlinks>
    <hyperlink ref="F1" r:id="rId1" xr:uid="{51FB1CFA-A63B-5245-B028-D17B0074751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AB59-1311-3348-8BD1-6120A4D8B30A}">
  <dimension ref="A1:E15"/>
  <sheetViews>
    <sheetView topLeftCell="A2" zoomScale="242" zoomScaleNormal="317" workbookViewId="0">
      <selection activeCell="C13" sqref="C13"/>
    </sheetView>
  </sheetViews>
  <sheetFormatPr defaultColWidth="11.42578125" defaultRowHeight="15"/>
  <cols>
    <col min="1" max="1" width="28.7109375" customWidth="1"/>
    <col min="2" max="2" width="12.42578125" bestFit="1" customWidth="1"/>
    <col min="3" max="3" width="12.42578125" customWidth="1"/>
    <col min="4" max="4" width="17.42578125" customWidth="1"/>
    <col min="5" max="5" width="25.42578125" bestFit="1" customWidth="1"/>
  </cols>
  <sheetData>
    <row r="1" spans="1:5">
      <c r="A1" s="203" t="s">
        <v>85</v>
      </c>
      <c r="B1" s="152"/>
      <c r="C1" s="152"/>
      <c r="D1" s="152"/>
      <c r="E1" s="152"/>
    </row>
    <row r="2" spans="1:5">
      <c r="A2" s="179" t="s">
        <v>75</v>
      </c>
      <c r="B2" s="152"/>
      <c r="C2" s="152"/>
      <c r="D2" s="152"/>
      <c r="E2" s="152"/>
    </row>
    <row r="3" spans="1:5" ht="15.75" thickBot="1">
      <c r="A3" s="152"/>
      <c r="B3" s="152"/>
      <c r="C3" s="152"/>
      <c r="D3" s="152"/>
      <c r="E3" s="152"/>
    </row>
    <row r="4" spans="1:5" ht="15.75" thickBot="1">
      <c r="A4" s="204" t="s">
        <v>219</v>
      </c>
      <c r="B4" s="210" t="s">
        <v>68</v>
      </c>
      <c r="C4" s="251" t="s">
        <v>220</v>
      </c>
      <c r="D4" s="252"/>
      <c r="E4" s="205" t="s">
        <v>70</v>
      </c>
    </row>
    <row r="5" spans="1:5" ht="15.75" thickBot="1">
      <c r="A5" s="204" t="s">
        <v>77</v>
      </c>
      <c r="B5" s="210" t="s">
        <v>78</v>
      </c>
      <c r="C5" s="210" t="s">
        <v>221</v>
      </c>
      <c r="D5" s="154" t="s">
        <v>84</v>
      </c>
      <c r="E5" s="154" t="s">
        <v>95</v>
      </c>
    </row>
    <row r="6" spans="1:5">
      <c r="A6" s="206" t="s">
        <v>97</v>
      </c>
      <c r="B6" s="211">
        <v>1250</v>
      </c>
      <c r="C6" s="211">
        <v>870</v>
      </c>
      <c r="D6" s="156">
        <v>350</v>
      </c>
      <c r="E6" s="156"/>
    </row>
    <row r="7" spans="1:5" ht="15.75" thickBot="1">
      <c r="A7" s="207" t="s">
        <v>98</v>
      </c>
      <c r="B7" s="212"/>
      <c r="C7" s="212"/>
      <c r="D7" s="157"/>
      <c r="E7" s="157">
        <v>5911</v>
      </c>
    </row>
    <row r="8" spans="1:5" ht="15.75" thickBot="1">
      <c r="A8" s="253" t="s">
        <v>83</v>
      </c>
      <c r="B8" s="254"/>
      <c r="C8" s="254"/>
      <c r="D8" s="255"/>
      <c r="E8" s="156" t="s">
        <v>226</v>
      </c>
    </row>
    <row r="9" spans="1:5">
      <c r="A9" s="233" t="s">
        <v>79</v>
      </c>
      <c r="B9" s="234">
        <v>6.0000000000000001E-3</v>
      </c>
      <c r="C9" s="235"/>
      <c r="D9" s="236"/>
      <c r="E9" s="156"/>
    </row>
    <row r="10" spans="1:5">
      <c r="A10" s="208" t="s">
        <v>80</v>
      </c>
      <c r="B10" s="225">
        <v>0.49</v>
      </c>
      <c r="C10" s="211"/>
      <c r="D10" s="156"/>
      <c r="E10" s="156"/>
    </row>
    <row r="11" spans="1:5">
      <c r="A11" s="208" t="s">
        <v>81</v>
      </c>
      <c r="B11" s="225">
        <v>0.40500000000000003</v>
      </c>
      <c r="C11" s="211"/>
      <c r="D11" s="156"/>
      <c r="E11" s="156"/>
    </row>
    <row r="12" spans="1:5" ht="15.75" thickBot="1">
      <c r="A12" s="209" t="s">
        <v>82</v>
      </c>
      <c r="B12" s="237">
        <v>9.6000000000000002E-2</v>
      </c>
      <c r="C12" s="212"/>
      <c r="D12" s="157"/>
      <c r="E12" s="156"/>
    </row>
    <row r="13" spans="1:5" ht="15.75" thickBot="1">
      <c r="A13" s="209" t="s">
        <v>96</v>
      </c>
      <c r="B13" s="212"/>
      <c r="C13" s="238">
        <v>0.43</v>
      </c>
      <c r="D13" s="238">
        <v>0.43</v>
      </c>
      <c r="E13" s="156"/>
    </row>
    <row r="14" spans="1:5" ht="15.75" thickBot="1">
      <c r="A14" s="209" t="s">
        <v>223</v>
      </c>
      <c r="B14" s="212"/>
      <c r="C14" s="238">
        <v>0.56999999999999995</v>
      </c>
      <c r="D14" s="238">
        <v>0.56999999999999995</v>
      </c>
      <c r="E14" s="156"/>
    </row>
    <row r="15" spans="1:5" ht="15.75" thickBot="1">
      <c r="A15" s="209" t="s">
        <v>222</v>
      </c>
      <c r="B15" s="212"/>
      <c r="C15" s="212"/>
      <c r="D15" s="157"/>
      <c r="E15" s="157"/>
    </row>
  </sheetData>
  <mergeCells count="2">
    <mergeCell ref="C4:D4"/>
    <mergeCell ref="A8:D8"/>
  </mergeCells>
  <hyperlinks>
    <hyperlink ref="A2" r:id="rId1" xr:uid="{4ED41C55-EF52-4B46-878B-CB4A5C4927A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361C-5EC4-4799-9E49-1BB7BE331C3E}">
  <dimension ref="A2:A6"/>
  <sheetViews>
    <sheetView zoomScale="217" zoomScaleNormal="175" workbookViewId="0"/>
  </sheetViews>
  <sheetFormatPr defaultColWidth="8.85546875" defaultRowHeight="15"/>
  <cols>
    <col min="1" max="1" width="24.85546875" bestFit="1" customWidth="1"/>
  </cols>
  <sheetData>
    <row r="2" spans="1:1">
      <c r="A2" t="s">
        <v>68</v>
      </c>
    </row>
    <row r="3" spans="1:1">
      <c r="A3" t="s">
        <v>69</v>
      </c>
    </row>
    <row r="4" spans="1:1">
      <c r="A4" t="s">
        <v>70</v>
      </c>
    </row>
    <row r="6" spans="1:1">
      <c r="A6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C6A6-D187-854F-A04F-14BE874C37FA}">
  <dimension ref="A1:E17"/>
  <sheetViews>
    <sheetView zoomScale="190" zoomScaleNormal="190" workbookViewId="0">
      <selection activeCell="F13" sqref="E13:F13"/>
    </sheetView>
  </sheetViews>
  <sheetFormatPr defaultColWidth="11.42578125" defaultRowHeight="15"/>
  <cols>
    <col min="2" max="2" width="21.7109375" bestFit="1" customWidth="1"/>
  </cols>
  <sheetData>
    <row r="1" spans="1:5">
      <c r="A1" s="179" t="s">
        <v>228</v>
      </c>
    </row>
    <row r="3" spans="1:5" ht="15.75" thickBot="1">
      <c r="A3" s="161" t="s">
        <v>227</v>
      </c>
      <c r="B3" s="1"/>
      <c r="C3" t="s">
        <v>234</v>
      </c>
    </row>
    <row r="4" spans="1:5" ht="15.75" thickBot="1">
      <c r="A4" s="148"/>
      <c r="B4" s="160"/>
      <c r="C4" s="159" t="s">
        <v>71</v>
      </c>
      <c r="D4" s="159" t="s">
        <v>73</v>
      </c>
      <c r="E4" s="149" t="s">
        <v>72</v>
      </c>
    </row>
    <row r="5" spans="1:5" ht="15.75" customHeight="1">
      <c r="A5" s="256" t="s">
        <v>88</v>
      </c>
      <c r="B5" s="227" t="s">
        <v>101</v>
      </c>
      <c r="C5" s="228">
        <v>13000</v>
      </c>
      <c r="D5" s="228">
        <v>2000</v>
      </c>
      <c r="E5" s="229">
        <v>13000</v>
      </c>
    </row>
    <row r="6" spans="1:5" ht="15.75">
      <c r="A6" s="257"/>
      <c r="B6" s="171" t="s">
        <v>99</v>
      </c>
      <c r="C6" s="169">
        <v>5839</v>
      </c>
      <c r="D6" s="169">
        <v>1150</v>
      </c>
      <c r="E6" s="174">
        <v>5058</v>
      </c>
    </row>
    <row r="7" spans="1:5" ht="15.75">
      <c r="A7" s="257"/>
      <c r="B7" s="171" t="s">
        <v>100</v>
      </c>
      <c r="C7" s="170">
        <v>-8</v>
      </c>
      <c r="D7" s="170">
        <v>3</v>
      </c>
      <c r="E7" s="146">
        <v>826</v>
      </c>
    </row>
    <row r="8" spans="1:5">
      <c r="A8" s="257"/>
      <c r="B8" s="171" t="s">
        <v>102</v>
      </c>
      <c r="C8" s="176">
        <v>582</v>
      </c>
      <c r="D8" s="176">
        <v>0</v>
      </c>
      <c r="E8" s="177">
        <v>140</v>
      </c>
    </row>
    <row r="9" spans="1:5" ht="15.75">
      <c r="A9" s="257"/>
      <c r="B9" s="171" t="s">
        <v>103</v>
      </c>
      <c r="C9" s="170">
        <f>SUM(C6:C8)</f>
        <v>6413</v>
      </c>
      <c r="D9" s="170">
        <f>SUM(D6:D8)</f>
        <v>1153</v>
      </c>
      <c r="E9" s="146">
        <f>SUM(E6:E8)</f>
        <v>6024</v>
      </c>
    </row>
    <row r="10" spans="1:5" ht="15.75" thickBot="1">
      <c r="A10" s="258"/>
      <c r="B10" s="173" t="s">
        <v>104</v>
      </c>
      <c r="C10" s="178">
        <f>C5-C9</f>
        <v>6587</v>
      </c>
      <c r="D10" s="178">
        <f>D5-D9</f>
        <v>847</v>
      </c>
      <c r="E10" s="165">
        <f>E5-E9</f>
        <v>6976</v>
      </c>
    </row>
    <row r="11" spans="1:5">
      <c r="A11" s="259" t="s">
        <v>70</v>
      </c>
      <c r="B11" s="171" t="s">
        <v>105</v>
      </c>
      <c r="C11" s="230">
        <v>275000</v>
      </c>
      <c r="D11" s="175">
        <v>125000</v>
      </c>
      <c r="E11" s="147"/>
    </row>
    <row r="12" spans="1:5" ht="15.75">
      <c r="A12" s="260"/>
      <c r="B12" s="171" t="s">
        <v>99</v>
      </c>
      <c r="C12" s="169">
        <v>-16879</v>
      </c>
      <c r="D12" s="169">
        <v>16387</v>
      </c>
      <c r="E12" s="174"/>
    </row>
    <row r="13" spans="1:5" ht="15.75">
      <c r="A13" s="260"/>
      <c r="B13" s="171" t="s">
        <v>100</v>
      </c>
      <c r="C13" s="170">
        <v>11543</v>
      </c>
      <c r="D13" s="170">
        <v>245</v>
      </c>
      <c r="E13" s="146"/>
    </row>
    <row r="14" spans="1:5">
      <c r="A14" s="260"/>
      <c r="B14" s="171" t="s">
        <v>102</v>
      </c>
      <c r="C14" s="176">
        <v>0</v>
      </c>
      <c r="D14" s="176">
        <v>11</v>
      </c>
      <c r="E14" s="177"/>
    </row>
    <row r="15" spans="1:5" ht="15.75">
      <c r="A15" s="260"/>
      <c r="B15" s="171" t="s">
        <v>103</v>
      </c>
      <c r="C15" s="170">
        <f>SUM(C12:C14)</f>
        <v>-5336</v>
      </c>
      <c r="D15" s="170">
        <f>SUM(D12:D14)</f>
        <v>16643</v>
      </c>
      <c r="E15" s="146"/>
    </row>
    <row r="16" spans="1:5" ht="15.75" thickBot="1">
      <c r="A16" s="261"/>
      <c r="B16" s="173" t="s">
        <v>104</v>
      </c>
      <c r="C16" s="178">
        <f>IF(C11-C15 &gt; C11,C11, C11-C15)</f>
        <v>275000</v>
      </c>
      <c r="D16" s="178">
        <f>IF(D11-D15 &gt; D11,D11, D11-D15)</f>
        <v>108357</v>
      </c>
      <c r="E16" s="165"/>
    </row>
    <row r="17" spans="2:2">
      <c r="B17" s="1"/>
    </row>
  </sheetData>
  <mergeCells count="2">
    <mergeCell ref="A5:A10"/>
    <mergeCell ref="A11:A16"/>
  </mergeCells>
  <hyperlinks>
    <hyperlink ref="A1" r:id="rId1" xr:uid="{5D41CADE-DA5E-E547-85B0-DD3E9D803E4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0A2E-C549-0F49-9F17-19D2B10D7C43}">
  <dimension ref="A1:A3"/>
  <sheetViews>
    <sheetView zoomScale="223" workbookViewId="0">
      <selection activeCell="C9" sqref="C9"/>
    </sheetView>
  </sheetViews>
  <sheetFormatPr defaultColWidth="11.42578125" defaultRowHeight="15"/>
  <sheetData>
    <row r="1" spans="1:1">
      <c r="A1" s="143" t="s">
        <v>75</v>
      </c>
    </row>
    <row r="2" spans="1:1">
      <c r="A2" s="151" t="s">
        <v>76</v>
      </c>
    </row>
    <row r="3" spans="1:1">
      <c r="A3" s="151" t="s">
        <v>87</v>
      </c>
    </row>
  </sheetData>
  <hyperlinks>
    <hyperlink ref="A1" r:id="rId1" xr:uid="{499F20E5-F3A6-E44F-BD41-C27F65213E0B}"/>
    <hyperlink ref="A2" r:id="rId2" xr:uid="{9C076CB0-FAFB-074D-BEF2-DEA4FF097B77}"/>
    <hyperlink ref="A3" r:id="rId3" xr:uid="{C6B208E5-562B-4D3B-9E21-FA3E2819856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C29C-A92B-B44D-9202-B809128EC938}">
  <dimension ref="A1:E5"/>
  <sheetViews>
    <sheetView tabSelected="1" zoomScale="145" zoomScaleNormal="145" workbookViewId="0">
      <selection activeCell="B6" sqref="B6"/>
    </sheetView>
  </sheetViews>
  <sheetFormatPr defaultColWidth="11.42578125" defaultRowHeight="15"/>
  <cols>
    <col min="2" max="2" width="11.42578125" customWidth="1"/>
    <col min="3" max="3" width="12.85546875" bestFit="1" customWidth="1"/>
    <col min="4" max="4" width="11.7109375" bestFit="1" customWidth="1"/>
  </cols>
  <sheetData>
    <row r="1" spans="1:5">
      <c r="B1" t="s">
        <v>242</v>
      </c>
    </row>
    <row r="4" spans="1:5">
      <c r="B4" s="1" t="s">
        <v>73</v>
      </c>
      <c r="C4" s="1" t="s">
        <v>71</v>
      </c>
      <c r="D4" s="1" t="s">
        <v>72</v>
      </c>
      <c r="E4" s="1"/>
    </row>
    <row r="5" spans="1:5">
      <c r="A5" t="s">
        <v>243</v>
      </c>
      <c r="B5" s="265">
        <v>277657</v>
      </c>
      <c r="C5" s="265">
        <v>282782</v>
      </c>
      <c r="D5" s="265">
        <v>69293</v>
      </c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Model</vt:lpstr>
      <vt:lpstr>Network</vt:lpstr>
      <vt:lpstr>Diversions</vt:lpstr>
      <vt:lpstr>Inflow Quantiles - Seasonal</vt:lpstr>
      <vt:lpstr>BearLake_ElevationStorage</vt:lpstr>
      <vt:lpstr>WaterAllocation</vt:lpstr>
      <vt:lpstr>HistoricWaterUse</vt:lpstr>
      <vt:lpstr>WaterBalance</vt:lpstr>
      <vt:lpstr>Scenarios</vt:lpstr>
      <vt:lpstr>WaterAllocation-Summary</vt:lpstr>
      <vt:lpstr>Depeltions</vt:lpstr>
      <vt:lpstr>Add reports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Hadia Akbar</dc:creator>
  <cp:lastModifiedBy>Hadia Akbar</cp:lastModifiedBy>
  <dcterms:created xsi:type="dcterms:W3CDTF">2024-09-20T17:16:15Z</dcterms:created>
  <dcterms:modified xsi:type="dcterms:W3CDTF">2025-07-15T00:19:52Z</dcterms:modified>
</cp:coreProperties>
</file>